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85223166\Desktop\Controle Pelada\"/>
    </mc:Choice>
  </mc:AlternateContent>
  <xr:revisionPtr revIDLastSave="0" documentId="13_ncr:1_{65B1453C-903D-43EB-B6C5-6AEF066D1D17}" xr6:coauthVersionLast="47" xr6:coauthVersionMax="47" xr10:uidLastSave="{00000000-0000-0000-0000-000000000000}"/>
  <bookViews>
    <workbookView xWindow="-110" yWindow="-110" windowWidth="19420" windowHeight="10300" firstSheet="1" activeTab="2" xr2:uid="{00000000-000D-0000-FFFF-FFFF00000000}"/>
  </bookViews>
  <sheets>
    <sheet name="⚙️ Config" sheetId="2" r:id="rId1"/>
    <sheet name="📋 Instruções" sheetId="1" r:id="rId2"/>
    <sheet name="⚽ Ultima_Pelada" sheetId="7" r:id="rId3"/>
    <sheet name="🟥 Jogadores_Mes" sheetId="3" r:id="rId4"/>
    <sheet name="🟨 Artilharia_Mes" sheetId="4" r:id="rId5"/>
    <sheet name="🟧 Assistencias_Mes" sheetId="5" r:id="rId6"/>
    <sheet name="📅 Historico" sheetId="6" r:id="rId7"/>
  </sheets>
  <definedNames>
    <definedName name="_xlnm._FilterDatabase" localSheetId="3" hidden="1">'🟥 Jogadores_Mes'!$A$2:$I$32</definedName>
    <definedName name="_xlnm._FilterDatabase" localSheetId="5" hidden="1">'🟧 Assistencias_Mes'!$A$2:$D$2</definedName>
    <definedName name="_xlnm._FilterDatabase" localSheetId="4" hidden="1">'🟨 Artilharia_Mes'!$A$2:$D$2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6" l="1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F33" i="3"/>
  <c r="E33" i="3"/>
  <c r="D33" i="3"/>
</calcChain>
</file>

<file path=xl/sharedStrings.xml><?xml version="1.0" encoding="utf-8"?>
<sst xmlns="http://schemas.openxmlformats.org/spreadsheetml/2006/main" count="283" uniqueCount="172">
  <si>
    <t>⚽  PELADA DO FILHÃO — BASE DE DADOS</t>
  </si>
  <si>
    <t>Atualize as abas semanalmente. O dashboard HTML lê os dados direto daqui.</t>
  </si>
  <si>
    <t>ABA</t>
  </si>
  <si>
    <t>O QUE FAZER TODA SEMANA</t>
  </si>
  <si>
    <t>🟥 Jogadores_Mes</t>
  </si>
  <si>
    <t>Atualize pts_mes, gols_mes, ass_mes e forma de cada jogador. Incremente total_peladas_mes.</t>
  </si>
  <si>
    <t>🟨 Artilharia_Mes</t>
  </si>
  <si>
    <t>Atualize gols e presenças. Mantenha do maior para o menor.</t>
  </si>
  <si>
    <t>🟧 Assistencias_Mes</t>
  </si>
  <si>
    <t>Atualize assistências e presenças. Mantenha do maior para o menor.</t>
  </si>
  <si>
    <t>📅 Historico</t>
  </si>
  <si>
    <t>Ao virar o mês: copie os totais de Jogadores_Mes aqui antes de zerar.</t>
  </si>
  <si>
    <t>⚙️ Config</t>
  </si>
  <si>
    <t>Atualize mês/ano e total de peladas ao virar o mês.</t>
  </si>
  <si>
    <t>CAMPO</t>
  </si>
  <si>
    <t>SIGNIFICADO</t>
  </si>
  <si>
    <t>tipo = M</t>
  </si>
  <si>
    <t>Mensalista — jogador fixo</t>
  </si>
  <si>
    <t>tipo = D</t>
  </si>
  <si>
    <t>Diarista — jogador avulso</t>
  </si>
  <si>
    <t>forma</t>
  </si>
  <si>
    <t>Últimos 5 jogos: V=Vitória, E=Empate, D=Derrota (separados por vírgula)</t>
  </si>
  <si>
    <t>pts_mes</t>
  </si>
  <si>
    <t>Pontuação total acumulada no mês corrente</t>
  </si>
  <si>
    <t>CONFIGURAÇÃO GERAL</t>
  </si>
  <si>
    <t>nome_grupo</t>
  </si>
  <si>
    <t>Pelada do Filhão</t>
  </si>
  <si>
    <t>desde</t>
  </si>
  <si>
    <t>2022</t>
  </si>
  <si>
    <t>dia_semana</t>
  </si>
  <si>
    <t>Quinta-feira</t>
  </si>
  <si>
    <t>mes_atual</t>
  </si>
  <si>
    <t>Maio</t>
  </si>
  <si>
    <t>ano_atual</t>
  </si>
  <si>
    <t>2026</t>
  </si>
  <si>
    <t>total_peladas_mes</t>
  </si>
  <si>
    <t>2</t>
  </si>
  <si>
    <t>data_ultima_pelada</t>
  </si>
  <si>
    <t>🟥 JOGADORES DO MÊS — atualizar a cada pelada</t>
  </si>
  <si>
    <t>Nome</t>
  </si>
  <si>
    <t>Inic.</t>
  </si>
  <si>
    <t>Tipo</t>
  </si>
  <si>
    <t>Pts Mês</t>
  </si>
  <si>
    <t>Gols</t>
  </si>
  <si>
    <t>Assist.</t>
  </si>
  <si>
    <t>Forma (V/E/D)</t>
  </si>
  <si>
    <t>Rank</t>
  </si>
  <si>
    <t>% Particip.</t>
  </si>
  <si>
    <t>Junior</t>
  </si>
  <si>
    <t>JR</t>
  </si>
  <si>
    <t>M</t>
  </si>
  <si>
    <t>V,V,V,E,V</t>
  </si>
  <si>
    <t>João G.</t>
  </si>
  <si>
    <t>JG</t>
  </si>
  <si>
    <t>D</t>
  </si>
  <si>
    <t>V,V,D,V,V</t>
  </si>
  <si>
    <t>Dudex</t>
  </si>
  <si>
    <t>DX</t>
  </si>
  <si>
    <t>V,E,V,V,D</t>
  </si>
  <si>
    <t>Eduardo Serpa</t>
  </si>
  <si>
    <t>ES</t>
  </si>
  <si>
    <t>V,V,E,D,V</t>
  </si>
  <si>
    <t>Jean</t>
  </si>
  <si>
    <t>JN</t>
  </si>
  <si>
    <t>V,V,V,E,D</t>
  </si>
  <si>
    <t>Carrilho</t>
  </si>
  <si>
    <t>CR</t>
  </si>
  <si>
    <t>V,D,V,V,E</t>
  </si>
  <si>
    <t>Rodrigo Azevedo</t>
  </si>
  <si>
    <t>RA</t>
  </si>
  <si>
    <t>V,V,D,E,V</t>
  </si>
  <si>
    <t>Jota</t>
  </si>
  <si>
    <t>JT</t>
  </si>
  <si>
    <t>E,V,V,D,V</t>
  </si>
  <si>
    <t>Vini Paulista</t>
  </si>
  <si>
    <t>VP</t>
  </si>
  <si>
    <t>V,D,E,V,V</t>
  </si>
  <si>
    <t>Marlos</t>
  </si>
  <si>
    <t>ML</t>
  </si>
  <si>
    <t>V,V,D,D,E</t>
  </si>
  <si>
    <t>Diego</t>
  </si>
  <si>
    <t>DG</t>
  </si>
  <si>
    <t>E,V,D,V,V</t>
  </si>
  <si>
    <t>Fran</t>
  </si>
  <si>
    <t>FR</t>
  </si>
  <si>
    <t>V,E,V,D,V</t>
  </si>
  <si>
    <t>Rivaldo</t>
  </si>
  <si>
    <t>RV</t>
  </si>
  <si>
    <t>D,V,E,V,V</t>
  </si>
  <si>
    <t>Leo Campos</t>
  </si>
  <si>
    <t>LC</t>
  </si>
  <si>
    <t>V,V,D,E,D</t>
  </si>
  <si>
    <t>Bernardo</t>
  </si>
  <si>
    <t>BN</t>
  </si>
  <si>
    <t>E,D,V,V,D</t>
  </si>
  <si>
    <t>Cardassi</t>
  </si>
  <si>
    <t>CD</t>
  </si>
  <si>
    <t>D,E,V,D,V</t>
  </si>
  <si>
    <t>Matheus Duarte</t>
  </si>
  <si>
    <t>MD</t>
  </si>
  <si>
    <t>V,D,D,E,V</t>
  </si>
  <si>
    <t>Rodriguinho</t>
  </si>
  <si>
    <t>RD</t>
  </si>
  <si>
    <t>D,V,E,D,V</t>
  </si>
  <si>
    <t>Coutinho</t>
  </si>
  <si>
    <t>CT</t>
  </si>
  <si>
    <t>E,D,V,D,E</t>
  </si>
  <si>
    <t>Falero</t>
  </si>
  <si>
    <t>FL</t>
  </si>
  <si>
    <t>D,E,D,V,D</t>
  </si>
  <si>
    <t>Pavanelli</t>
  </si>
  <si>
    <t>PV</t>
  </si>
  <si>
    <t>D,D,E,D,V</t>
  </si>
  <si>
    <t>Matheus Martins</t>
  </si>
  <si>
    <t>MM</t>
  </si>
  <si>
    <t>D,D,D,E,D</t>
  </si>
  <si>
    <t>Victor Pena</t>
  </si>
  <si>
    <t>VC</t>
  </si>
  <si>
    <t>D,D,D,D,D</t>
  </si>
  <si>
    <t>TOTAL</t>
  </si>
  <si>
    <t>🟨 ARTILHARIA DO MÊS — atualizar a cada pelada</t>
  </si>
  <si>
    <t>Posição</t>
  </si>
  <si>
    <t>Presenças</t>
  </si>
  <si>
    <t>🟧 ASSISTÊNCIAS DO MÊS — atualizar a cada pelada</t>
  </si>
  <si>
    <t>📅 HISTÓRICO — copie os dados ao virar o mês</t>
  </si>
  <si>
    <t>Jogador</t>
  </si>
  <si>
    <t>Nov/22</t>
  </si>
  <si>
    <t>Jan/23</t>
  </si>
  <si>
    <t>Abr/26</t>
  </si>
  <si>
    <t>Mai/26</t>
  </si>
  <si>
    <t>🔵 TIME BRANCO</t>
  </si>
  <si>
    <t>⚫ TIME PRETO</t>
  </si>
  <si>
    <t>🔴 TIME VERMELHO</t>
  </si>
  <si>
    <t>2V · 2E · 2D</t>
  </si>
  <si>
    <t>4V · 1E · 1D</t>
  </si>
  <si>
    <t xml:space="preserve">Vitor Gomide </t>
  </si>
  <si>
    <t>Joao lucas</t>
  </si>
  <si>
    <t>Breder</t>
  </si>
  <si>
    <t>Galvao</t>
  </si>
  <si>
    <t>Tutuca</t>
  </si>
  <si>
    <t>Mumu</t>
  </si>
  <si>
    <t>Fabio</t>
  </si>
  <si>
    <t xml:space="preserve">Eduardo </t>
  </si>
  <si>
    <t>⚽ ÚLTIMA PELADA — 21/05/2026</t>
  </si>
  <si>
    <t>Galvão</t>
  </si>
  <si>
    <t>João Lucas</t>
  </si>
  <si>
    <t>Victor Gomide</t>
  </si>
  <si>
    <t>GV</t>
  </si>
  <si>
    <t>JL</t>
  </si>
  <si>
    <t>TK</t>
  </si>
  <si>
    <t>VG</t>
  </si>
  <si>
    <t>BD</t>
  </si>
  <si>
    <t>FB</t>
  </si>
  <si>
    <t>1º</t>
  </si>
  <si>
    <t xml:space="preserve">Diego </t>
  </si>
  <si>
    <t>2º</t>
  </si>
  <si>
    <t>3º</t>
  </si>
  <si>
    <t>Pedro Carrilho</t>
  </si>
  <si>
    <t>4º</t>
  </si>
  <si>
    <t>5º</t>
  </si>
  <si>
    <t>6º</t>
  </si>
  <si>
    <t>7º</t>
  </si>
  <si>
    <t>8º</t>
  </si>
  <si>
    <t>9º</t>
  </si>
  <si>
    <t xml:space="preserve">Matheus Duarte </t>
  </si>
  <si>
    <t>10º</t>
  </si>
  <si>
    <t>Bernardo Mansoldo</t>
  </si>
  <si>
    <t>11º</t>
  </si>
  <si>
    <t>12º</t>
  </si>
  <si>
    <t>13º</t>
  </si>
  <si>
    <t>14º</t>
  </si>
  <si>
    <t xml:space="preserve">Galvão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</si>
</sst>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Calibri"/>
      <family val="2"/>
      <scheme val="minor"/>
    </font>
    <font>
      <b/>
      <sz val="16"/>
      <color rgb="FFF59E0B"/>
      <name val="Georgia"/>
      <family val="1"/>
    </font>
    <font>
      <i/>
      <sz val="10"/>
      <color rgb="FF9CA3AF"/>
      <name val="Georgia"/>
      <family val="1"/>
    </font>
    <font>
      <b/>
      <sz val="10"/>
      <color rgb="FFF59E0B"/>
      <name val="Georgia"/>
      <family val="1"/>
    </font>
    <font>
      <sz val="10"/>
      <color rgb="FF111827"/>
      <name val="Georgia"/>
      <family val="1"/>
    </font>
    <font>
      <b/>
      <sz val="13"/>
      <color rgb="FFF59E0B"/>
      <name val="Georgia"/>
      <family val="1"/>
    </font>
    <font>
      <sz val="11"/>
      <color rgb="FF111111"/>
      <name val="Georgia"/>
      <family val="1"/>
    </font>
    <font>
      <b/>
      <sz val="11"/>
      <color rgb="FF111111"/>
      <name val="Georgia"/>
      <family val="1"/>
    </font>
    <font>
      <b/>
      <sz val="10"/>
      <color rgb="FFFFFFFF"/>
      <name val="Georgia"/>
      <family val="1"/>
    </font>
    <font>
      <b/>
      <sz val="10"/>
      <color rgb="FFB91C1C"/>
      <name val="Georgia"/>
      <family val="1"/>
    </font>
    <font>
      <b/>
      <sz val="11"/>
      <color rgb="FFD97706"/>
      <name val="Georgia"/>
      <family val="1"/>
    </font>
    <font>
      <sz val="11"/>
      <color rgb="FF6B7280"/>
      <name val="Georgia"/>
      <family val="1"/>
    </font>
    <font>
      <b/>
      <sz val="10"/>
      <color rgb="FFD97706"/>
      <name val="Georgia"/>
      <family val="1"/>
    </font>
    <font>
      <b/>
      <sz val="11"/>
      <color rgb="FFFFFFFF"/>
      <name val="Georgia"/>
      <family val="1"/>
    </font>
    <font>
      <b/>
      <sz val="12"/>
      <color rgb="FFF59E0B"/>
      <name val="Georgia"/>
      <family val="1"/>
    </font>
    <font>
      <b/>
      <sz val="11"/>
      <color rgb="FFFFFFFF"/>
      <name val="Georgia"/>
      <family val="1"/>
    </font>
    <font>
      <b/>
      <sz val="12"/>
      <color rgb="FFD97706"/>
      <name val="Georgia"/>
      <family val="1"/>
    </font>
    <font>
      <b/>
      <sz val="12"/>
      <color rgb="FFB91C1C"/>
      <name val="Georgia"/>
      <family val="1"/>
    </font>
    <font>
      <b/>
      <sz val="11"/>
      <name val="Georgia"/>
      <family val="1"/>
    </font>
    <font>
      <b/>
      <sz val="11"/>
      <color rgb="FFEF4444"/>
      <name val="Georgia"/>
      <family val="1"/>
    </font>
    <font>
      <b/>
      <sz val="11"/>
      <color rgb="FFF59E0B"/>
      <name val="Georgia"/>
      <family val="1"/>
    </font>
    <font>
      <b/>
      <sz val="11"/>
      <color rgb="FFFCA5A5"/>
      <name val="Georgia"/>
      <family val="1"/>
    </font>
    <font>
      <b/>
      <sz val="14"/>
      <color rgb="FFF59E0B"/>
      <name val="Georgia"/>
      <family val="1"/>
    </font>
    <font>
      <b/>
      <sz val="11"/>
      <color rgb="FFE2E8F0"/>
      <name val="Georgia"/>
      <family val="1"/>
    </font>
    <font>
      <b/>
      <sz val="11"/>
      <color rgb="FFD1D5DB"/>
      <name val="Georgia"/>
      <family val="1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A0000"/>
      </patternFill>
    </fill>
    <fill>
      <patternFill patternType="solid">
        <fgColor rgb="FF7F1D1D"/>
      </patternFill>
    </fill>
    <fill>
      <patternFill patternType="solid">
        <fgColor rgb="FFFFFFFF"/>
      </patternFill>
    </fill>
    <fill>
      <patternFill patternType="solid">
        <fgColor rgb="FFFFF7ED"/>
      </patternFill>
    </fill>
    <fill>
      <patternFill patternType="solid">
        <fgColor rgb="FFB91C1C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78350F"/>
      </patternFill>
    </fill>
    <fill>
      <patternFill patternType="solid">
        <fgColor rgb="FFD97706"/>
      </patternFill>
    </fill>
    <fill>
      <patternFill patternType="solid">
        <fgColor rgb="FF475569"/>
      </patternFill>
    </fill>
    <fill>
      <patternFill patternType="solid">
        <fgColor rgb="FF1C1C1C"/>
      </patternFill>
    </fill>
    <fill>
      <patternFill patternType="solid">
        <fgColor rgb="FF1F293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FCA5A5"/>
      </left>
      <right style="thin">
        <color rgb="FFFCA5A5"/>
      </right>
      <top style="thin">
        <color rgb="FFFCA5A5"/>
      </top>
      <bottom style="thin">
        <color rgb="FFFCA5A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/>
    <xf numFmtId="0" fontId="8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left" vertical="center"/>
    </xf>
    <xf numFmtId="14" fontId="6" fillId="5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C8"/>
  <sheetViews>
    <sheetView showGridLines="0" workbookViewId="0">
      <selection activeCell="C9" sqref="C9"/>
    </sheetView>
  </sheetViews>
  <sheetFormatPr defaultRowHeight="14.5" x14ac:dyDescent="0.35"/>
  <cols>
    <col min="1" max="1" width="3" customWidth="1"/>
    <col min="2" max="2" width="28" customWidth="1"/>
    <col min="3" max="3" width="30" customWidth="1"/>
  </cols>
  <sheetData>
    <row r="1" spans="2:3" ht="28" customHeight="1" x14ac:dyDescent="0.35">
      <c r="B1" s="42" t="s">
        <v>24</v>
      </c>
      <c r="C1" s="40"/>
    </row>
    <row r="2" spans="2:3" ht="20" customHeight="1" x14ac:dyDescent="0.35">
      <c r="B2" s="4" t="s">
        <v>25</v>
      </c>
      <c r="C2" s="5" t="s">
        <v>26</v>
      </c>
    </row>
    <row r="3" spans="2:3" ht="20" customHeight="1" x14ac:dyDescent="0.35">
      <c r="B3" s="6" t="s">
        <v>27</v>
      </c>
      <c r="C3" s="7" t="s">
        <v>28</v>
      </c>
    </row>
    <row r="4" spans="2:3" ht="20" customHeight="1" x14ac:dyDescent="0.35">
      <c r="B4" s="4" t="s">
        <v>29</v>
      </c>
      <c r="C4" s="5" t="s">
        <v>30</v>
      </c>
    </row>
    <row r="5" spans="2:3" ht="20" customHeight="1" x14ac:dyDescent="0.35">
      <c r="B5" s="6" t="s">
        <v>31</v>
      </c>
      <c r="C5" s="7" t="s">
        <v>32</v>
      </c>
    </row>
    <row r="6" spans="2:3" ht="20" customHeight="1" x14ac:dyDescent="0.35">
      <c r="B6" s="4" t="s">
        <v>33</v>
      </c>
      <c r="C6" s="5" t="s">
        <v>34</v>
      </c>
    </row>
    <row r="7" spans="2:3" ht="20" customHeight="1" x14ac:dyDescent="0.35">
      <c r="B7" s="6" t="s">
        <v>35</v>
      </c>
      <c r="C7" s="7" t="s">
        <v>36</v>
      </c>
    </row>
    <row r="8" spans="2:3" ht="20" customHeight="1" x14ac:dyDescent="0.35">
      <c r="B8" s="4" t="s">
        <v>37</v>
      </c>
      <c r="C8" s="38">
        <v>46163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5"/>
  <sheetViews>
    <sheetView showGridLines="0" workbookViewId="0">
      <selection activeCell="B1" sqref="B1:C1"/>
    </sheetView>
  </sheetViews>
  <sheetFormatPr defaultRowHeight="14.5" x14ac:dyDescent="0.35"/>
  <cols>
    <col min="1" max="1" width="3" customWidth="1"/>
    <col min="2" max="2" width="28" customWidth="1"/>
    <col min="3" max="3" width="79.7265625" bestFit="1" customWidth="1"/>
  </cols>
  <sheetData>
    <row r="1" spans="2:3" ht="38" customHeight="1" x14ac:dyDescent="0.35">
      <c r="B1" s="39" t="s">
        <v>0</v>
      </c>
      <c r="C1" s="40"/>
    </row>
    <row r="2" spans="2:3" ht="20" customHeight="1" x14ac:dyDescent="0.35">
      <c r="B2" s="41" t="s">
        <v>1</v>
      </c>
      <c r="C2" s="40"/>
    </row>
    <row r="4" spans="2:3" ht="20" customHeight="1" x14ac:dyDescent="0.35">
      <c r="B4" s="1" t="s">
        <v>2</v>
      </c>
      <c r="C4" s="1" t="s">
        <v>3</v>
      </c>
    </row>
    <row r="5" spans="2:3" ht="20" customHeight="1" x14ac:dyDescent="0.35">
      <c r="B5" s="2" t="s">
        <v>4</v>
      </c>
      <c r="C5" s="2" t="s">
        <v>5</v>
      </c>
    </row>
    <row r="6" spans="2:3" ht="20" customHeight="1" x14ac:dyDescent="0.35">
      <c r="B6" s="3" t="s">
        <v>6</v>
      </c>
      <c r="C6" s="3" t="s">
        <v>7</v>
      </c>
    </row>
    <row r="7" spans="2:3" ht="20" customHeight="1" x14ac:dyDescent="0.35">
      <c r="B7" s="2" t="s">
        <v>8</v>
      </c>
      <c r="C7" s="2" t="s">
        <v>9</v>
      </c>
    </row>
    <row r="8" spans="2:3" ht="20" customHeight="1" x14ac:dyDescent="0.35">
      <c r="B8" s="3" t="s">
        <v>10</v>
      </c>
      <c r="C8" s="3" t="s">
        <v>11</v>
      </c>
    </row>
    <row r="9" spans="2:3" ht="20" customHeight="1" x14ac:dyDescent="0.35">
      <c r="B9" s="2" t="s">
        <v>12</v>
      </c>
      <c r="C9" s="2" t="s">
        <v>13</v>
      </c>
    </row>
    <row r="10" spans="2:3" ht="20" customHeight="1" x14ac:dyDescent="0.35">
      <c r="B10" s="3"/>
      <c r="C10" s="3"/>
    </row>
    <row r="11" spans="2:3" ht="20" customHeight="1" x14ac:dyDescent="0.35">
      <c r="B11" s="1" t="s">
        <v>14</v>
      </c>
      <c r="C11" s="1" t="s">
        <v>15</v>
      </c>
    </row>
    <row r="12" spans="2:3" ht="20" customHeight="1" x14ac:dyDescent="0.35">
      <c r="B12" s="3" t="s">
        <v>16</v>
      </c>
      <c r="C12" s="3" t="s">
        <v>17</v>
      </c>
    </row>
    <row r="13" spans="2:3" ht="20" customHeight="1" x14ac:dyDescent="0.35">
      <c r="B13" s="2" t="s">
        <v>18</v>
      </c>
      <c r="C13" s="2" t="s">
        <v>19</v>
      </c>
    </row>
    <row r="14" spans="2:3" ht="20" customHeight="1" x14ac:dyDescent="0.35">
      <c r="B14" s="3" t="s">
        <v>20</v>
      </c>
      <c r="C14" s="3" t="s">
        <v>21</v>
      </c>
    </row>
    <row r="15" spans="2:3" ht="20" customHeight="1" x14ac:dyDescent="0.35">
      <c r="B15" s="2" t="s">
        <v>22</v>
      </c>
      <c r="C15" s="2" t="s">
        <v>23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1"/>
  <sheetViews>
    <sheetView showGridLines="0" tabSelected="1" workbookViewId="0">
      <selection activeCell="E15" sqref="E15"/>
    </sheetView>
  </sheetViews>
  <sheetFormatPr defaultRowHeight="14.5" x14ac:dyDescent="0.35"/>
  <cols>
    <col min="1" max="1" width="3" customWidth="1"/>
    <col min="2" max="4" width="22" customWidth="1"/>
  </cols>
  <sheetData>
    <row r="1" spans="2:4" ht="1" customHeight="1" x14ac:dyDescent="0.35">
      <c r="B1" s="43" t="s">
        <v>143</v>
      </c>
      <c r="C1" s="40"/>
      <c r="D1" s="40"/>
    </row>
    <row r="2" spans="2:4" ht="1.5" customHeight="1" x14ac:dyDescent="0.35">
      <c r="B2" s="33" t="s">
        <v>130</v>
      </c>
      <c r="C2" s="34" t="s">
        <v>131</v>
      </c>
      <c r="D2" s="35" t="s">
        <v>132</v>
      </c>
    </row>
    <row r="3" spans="2:4" x14ac:dyDescent="0.35">
      <c r="B3" s="36" t="s">
        <v>133</v>
      </c>
      <c r="C3" s="36" t="s">
        <v>134</v>
      </c>
      <c r="D3" s="36"/>
    </row>
    <row r="4" spans="2:4" ht="19" customHeight="1" x14ac:dyDescent="0.35">
      <c r="B4" s="5" t="s">
        <v>142</v>
      </c>
      <c r="C4" s="5" t="s">
        <v>135</v>
      </c>
      <c r="D4" s="5"/>
    </row>
    <row r="5" spans="2:4" ht="19" customHeight="1" x14ac:dyDescent="0.35">
      <c r="B5" s="7" t="s">
        <v>86</v>
      </c>
      <c r="C5" s="7" t="s">
        <v>136</v>
      </c>
      <c r="D5" s="7"/>
    </row>
    <row r="6" spans="2:4" ht="19" customHeight="1" x14ac:dyDescent="0.35">
      <c r="B6" s="5" t="s">
        <v>95</v>
      </c>
      <c r="C6" s="5" t="s">
        <v>137</v>
      </c>
      <c r="D6" s="5"/>
    </row>
    <row r="7" spans="2:4" ht="19" customHeight="1" x14ac:dyDescent="0.35">
      <c r="B7" s="7" t="s">
        <v>71</v>
      </c>
      <c r="C7" s="7" t="s">
        <v>92</v>
      </c>
      <c r="D7" s="7"/>
    </row>
    <row r="8" spans="2:4" ht="19" customHeight="1" x14ac:dyDescent="0.35">
      <c r="B8" s="5" t="s">
        <v>62</v>
      </c>
      <c r="C8" s="5" t="s">
        <v>138</v>
      </c>
      <c r="D8" s="5"/>
    </row>
    <row r="9" spans="2:4" ht="19" customHeight="1" x14ac:dyDescent="0.35">
      <c r="B9" s="7" t="s">
        <v>56</v>
      </c>
      <c r="C9" s="7" t="s">
        <v>139</v>
      </c>
    </row>
    <row r="10" spans="2:4" ht="19" customHeight="1" x14ac:dyDescent="0.35">
      <c r="B10" s="5" t="s">
        <v>48</v>
      </c>
      <c r="C10" s="5" t="s">
        <v>140</v>
      </c>
    </row>
    <row r="11" spans="2:4" x14ac:dyDescent="0.35">
      <c r="B11" s="7" t="s">
        <v>80</v>
      </c>
      <c r="C11" s="7" t="s">
        <v>141</v>
      </c>
    </row>
  </sheetData>
  <mergeCells count="1">
    <mergeCell ref="B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showGridLines="0" workbookViewId="0">
      <pane ySplit="2" topLeftCell="A16" activePane="bottomLeft" state="frozen"/>
      <selection pane="bottomLeft" activeCell="D5" sqref="D5"/>
    </sheetView>
  </sheetViews>
  <sheetFormatPr defaultRowHeight="14.5" x14ac:dyDescent="0.35"/>
  <cols>
    <col min="1" max="1" width="22" customWidth="1"/>
    <col min="2" max="2" width="10" customWidth="1"/>
    <col min="3" max="6" width="12" customWidth="1"/>
    <col min="7" max="7" width="22" customWidth="1"/>
    <col min="8" max="8" width="8" customWidth="1"/>
    <col min="9" max="9" width="18" customWidth="1"/>
  </cols>
  <sheetData>
    <row r="1" spans="1:9" ht="1.5" customHeight="1" x14ac:dyDescent="0.35">
      <c r="A1" s="42" t="s">
        <v>38</v>
      </c>
      <c r="B1" s="40"/>
      <c r="C1" s="40"/>
      <c r="D1" s="40"/>
      <c r="E1" s="40"/>
      <c r="F1" s="40"/>
      <c r="G1" s="40"/>
      <c r="H1" s="40"/>
      <c r="I1" s="40"/>
    </row>
    <row r="2" spans="1:9" ht="22" customHeight="1" x14ac:dyDescent="0.35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8" t="s">
        <v>46</v>
      </c>
      <c r="I2" s="8" t="s">
        <v>47</v>
      </c>
    </row>
    <row r="3" spans="1:9" ht="20" customHeight="1" x14ac:dyDescent="0.35">
      <c r="A3" s="7" t="s">
        <v>48</v>
      </c>
      <c r="B3" s="9" t="s">
        <v>49</v>
      </c>
      <c r="C3" s="10" t="s">
        <v>50</v>
      </c>
      <c r="D3" s="9">
        <v>24</v>
      </c>
      <c r="E3" s="9">
        <v>1</v>
      </c>
      <c r="F3" s="9">
        <v>1</v>
      </c>
      <c r="G3" s="9" t="s">
        <v>51</v>
      </c>
      <c r="H3" s="11">
        <f>RANK(D3,D$3:D$32,0)</f>
        <v>1</v>
      </c>
      <c r="I3" s="12">
        <f>IFERROR(D3/SUM(D$3:D$32),0)</f>
        <v>0.100418410041841</v>
      </c>
    </row>
    <row r="4" spans="1:9" ht="20" customHeight="1" x14ac:dyDescent="0.35">
      <c r="A4" s="7" t="s">
        <v>62</v>
      </c>
      <c r="B4" s="9" t="s">
        <v>63</v>
      </c>
      <c r="C4" s="10" t="s">
        <v>50</v>
      </c>
      <c r="D4" s="9">
        <v>19</v>
      </c>
      <c r="E4" s="9">
        <v>4</v>
      </c>
      <c r="F4" s="9">
        <v>0</v>
      </c>
      <c r="G4" s="9" t="s">
        <v>64</v>
      </c>
      <c r="H4" s="11">
        <f t="shared" ref="H4:H32" si="0">RANK(D4,D$3:D$32,0)</f>
        <v>2</v>
      </c>
      <c r="I4" s="12">
        <f t="shared" ref="I4:I32" si="1">IFERROR(D4/SUM(D$3:D$32),0)</f>
        <v>7.9497907949790794E-2</v>
      </c>
    </row>
    <row r="5" spans="1:9" ht="20" customHeight="1" x14ac:dyDescent="0.35">
      <c r="A5" s="7" t="s">
        <v>56</v>
      </c>
      <c r="B5" s="9" t="s">
        <v>57</v>
      </c>
      <c r="C5" s="10" t="s">
        <v>50</v>
      </c>
      <c r="D5" s="9">
        <v>18</v>
      </c>
      <c r="E5" s="9">
        <v>4</v>
      </c>
      <c r="F5" s="9">
        <v>2</v>
      </c>
      <c r="G5" s="9" t="s">
        <v>58</v>
      </c>
      <c r="H5" s="11">
        <f t="shared" si="0"/>
        <v>3</v>
      </c>
      <c r="I5" s="12">
        <f t="shared" si="1"/>
        <v>7.5313807531380755E-2</v>
      </c>
    </row>
    <row r="6" spans="1:9" ht="20" customHeight="1" x14ac:dyDescent="0.35">
      <c r="A6" s="5" t="s">
        <v>59</v>
      </c>
      <c r="B6" s="13" t="s">
        <v>60</v>
      </c>
      <c r="C6" s="10" t="s">
        <v>50</v>
      </c>
      <c r="D6" s="13">
        <v>18</v>
      </c>
      <c r="E6" s="13">
        <v>2</v>
      </c>
      <c r="F6" s="13">
        <v>0</v>
      </c>
      <c r="G6" s="13" t="s">
        <v>61</v>
      </c>
      <c r="H6" s="11">
        <f t="shared" si="0"/>
        <v>3</v>
      </c>
      <c r="I6" s="12">
        <f t="shared" si="1"/>
        <v>7.5313807531380755E-2</v>
      </c>
    </row>
    <row r="7" spans="1:9" ht="20" customHeight="1" x14ac:dyDescent="0.35">
      <c r="A7" s="5" t="s">
        <v>71</v>
      </c>
      <c r="B7" s="13" t="s">
        <v>72</v>
      </c>
      <c r="C7" s="10" t="s">
        <v>50</v>
      </c>
      <c r="D7" s="13">
        <v>16</v>
      </c>
      <c r="E7" s="13">
        <v>0</v>
      </c>
      <c r="F7" s="13">
        <v>1</v>
      </c>
      <c r="G7" s="13" t="s">
        <v>73</v>
      </c>
      <c r="H7" s="11">
        <f t="shared" si="0"/>
        <v>5</v>
      </c>
      <c r="I7" s="12">
        <f t="shared" si="1"/>
        <v>6.6945606694560664E-2</v>
      </c>
    </row>
    <row r="8" spans="1:9" ht="20" customHeight="1" x14ac:dyDescent="0.35">
      <c r="A8" s="7" t="s">
        <v>80</v>
      </c>
      <c r="B8" s="9" t="s">
        <v>81</v>
      </c>
      <c r="C8" s="10" t="s">
        <v>50</v>
      </c>
      <c r="D8" s="9">
        <v>15</v>
      </c>
      <c r="E8" s="9">
        <v>5</v>
      </c>
      <c r="F8" s="9">
        <v>1</v>
      </c>
      <c r="G8" s="9" t="s">
        <v>82</v>
      </c>
      <c r="H8" s="11">
        <f t="shared" si="0"/>
        <v>6</v>
      </c>
      <c r="I8" s="12">
        <f t="shared" si="1"/>
        <v>6.2761506276150625E-2</v>
      </c>
    </row>
    <row r="9" spans="1:9" ht="20" customHeight="1" x14ac:dyDescent="0.35">
      <c r="A9" s="5" t="s">
        <v>52</v>
      </c>
      <c r="B9" s="13" t="s">
        <v>53</v>
      </c>
      <c r="C9" s="14" t="s">
        <v>54</v>
      </c>
      <c r="D9" s="13">
        <v>14</v>
      </c>
      <c r="E9" s="13">
        <v>0</v>
      </c>
      <c r="F9" s="13">
        <v>0</v>
      </c>
      <c r="G9" s="13" t="s">
        <v>55</v>
      </c>
      <c r="H9" s="11">
        <f t="shared" si="0"/>
        <v>7</v>
      </c>
      <c r="I9" s="12">
        <f t="shared" si="1"/>
        <v>5.8577405857740586E-2</v>
      </c>
    </row>
    <row r="10" spans="1:9" ht="20" customHeight="1" x14ac:dyDescent="0.35">
      <c r="A10" s="5" t="s">
        <v>65</v>
      </c>
      <c r="B10" s="13" t="s">
        <v>66</v>
      </c>
      <c r="C10" s="14" t="s">
        <v>54</v>
      </c>
      <c r="D10" s="13">
        <v>13</v>
      </c>
      <c r="E10" s="13">
        <v>3</v>
      </c>
      <c r="F10" s="13">
        <v>1</v>
      </c>
      <c r="G10" s="13" t="s">
        <v>67</v>
      </c>
      <c r="H10" s="11">
        <f t="shared" si="0"/>
        <v>8</v>
      </c>
      <c r="I10" s="12">
        <f t="shared" si="1"/>
        <v>5.4393305439330547E-2</v>
      </c>
    </row>
    <row r="11" spans="1:9" ht="20" customHeight="1" x14ac:dyDescent="0.35">
      <c r="A11" s="7" t="s">
        <v>86</v>
      </c>
      <c r="B11" s="9" t="s">
        <v>87</v>
      </c>
      <c r="C11" s="10" t="s">
        <v>50</v>
      </c>
      <c r="D11" s="9">
        <v>12</v>
      </c>
      <c r="E11" s="9">
        <v>0</v>
      </c>
      <c r="F11" s="9">
        <v>0</v>
      </c>
      <c r="G11" s="9" t="s">
        <v>88</v>
      </c>
      <c r="H11" s="11">
        <f t="shared" si="0"/>
        <v>9</v>
      </c>
      <c r="I11" s="12">
        <f t="shared" si="1"/>
        <v>5.0209205020920501E-2</v>
      </c>
    </row>
    <row r="12" spans="1:9" ht="20" customHeight="1" x14ac:dyDescent="0.35">
      <c r="A12" s="7" t="s">
        <v>68</v>
      </c>
      <c r="B12" s="9" t="s">
        <v>69</v>
      </c>
      <c r="C12" s="10" t="s">
        <v>50</v>
      </c>
      <c r="D12" s="9">
        <v>12</v>
      </c>
      <c r="E12" s="9">
        <v>3</v>
      </c>
      <c r="F12" s="9">
        <v>0</v>
      </c>
      <c r="G12" s="9" t="s">
        <v>70</v>
      </c>
      <c r="H12" s="11">
        <f t="shared" si="0"/>
        <v>9</v>
      </c>
      <c r="I12" s="12">
        <f t="shared" si="1"/>
        <v>5.0209205020920501E-2</v>
      </c>
    </row>
    <row r="13" spans="1:9" ht="20" customHeight="1" x14ac:dyDescent="0.35">
      <c r="A13" s="7" t="s">
        <v>74</v>
      </c>
      <c r="B13" s="9" t="s">
        <v>75</v>
      </c>
      <c r="C13" s="10" t="s">
        <v>50</v>
      </c>
      <c r="D13" s="9">
        <v>11</v>
      </c>
      <c r="E13" s="9">
        <v>1</v>
      </c>
      <c r="F13" s="9">
        <v>0</v>
      </c>
      <c r="G13" s="9" t="s">
        <v>76</v>
      </c>
      <c r="H13" s="11">
        <f t="shared" si="0"/>
        <v>11</v>
      </c>
      <c r="I13" s="12">
        <f t="shared" si="1"/>
        <v>4.6025104602510462E-2</v>
      </c>
    </row>
    <row r="14" spans="1:9" ht="20" customHeight="1" x14ac:dyDescent="0.35">
      <c r="A14" s="5" t="s">
        <v>83</v>
      </c>
      <c r="B14" s="13" t="s">
        <v>84</v>
      </c>
      <c r="C14" s="14" t="s">
        <v>54</v>
      </c>
      <c r="D14" s="13">
        <v>9</v>
      </c>
      <c r="E14" s="13">
        <v>0</v>
      </c>
      <c r="F14" s="13">
        <v>0</v>
      </c>
      <c r="G14" s="13" t="s">
        <v>85</v>
      </c>
      <c r="H14" s="11">
        <f t="shared" si="0"/>
        <v>12</v>
      </c>
      <c r="I14" s="12">
        <f t="shared" si="1"/>
        <v>3.7656903765690378E-2</v>
      </c>
    </row>
    <row r="15" spans="1:9" ht="20" customHeight="1" x14ac:dyDescent="0.35">
      <c r="A15" s="5" t="s">
        <v>77</v>
      </c>
      <c r="B15" s="13" t="s">
        <v>78</v>
      </c>
      <c r="C15" s="14" t="s">
        <v>54</v>
      </c>
      <c r="D15" s="13">
        <v>9</v>
      </c>
      <c r="E15" s="13">
        <v>2</v>
      </c>
      <c r="F15" s="13">
        <v>0</v>
      </c>
      <c r="G15" s="13" t="s">
        <v>79</v>
      </c>
      <c r="H15" s="11">
        <f t="shared" si="0"/>
        <v>12</v>
      </c>
      <c r="I15" s="12">
        <f t="shared" si="1"/>
        <v>3.7656903765690378E-2</v>
      </c>
    </row>
    <row r="16" spans="1:9" ht="20" customHeight="1" x14ac:dyDescent="0.35">
      <c r="A16" s="7" t="s">
        <v>92</v>
      </c>
      <c r="B16" s="9" t="s">
        <v>93</v>
      </c>
      <c r="C16" s="14" t="s">
        <v>54</v>
      </c>
      <c r="D16" s="9">
        <v>8</v>
      </c>
      <c r="E16" s="9">
        <v>1</v>
      </c>
      <c r="F16" s="9">
        <v>0</v>
      </c>
      <c r="G16" s="9" t="s">
        <v>94</v>
      </c>
      <c r="H16" s="11">
        <f t="shared" si="0"/>
        <v>14</v>
      </c>
      <c r="I16" s="12">
        <f t="shared" si="1"/>
        <v>3.3472803347280332E-2</v>
      </c>
    </row>
    <row r="17" spans="1:9" ht="20" customHeight="1" x14ac:dyDescent="0.35">
      <c r="A17" s="5" t="s">
        <v>95</v>
      </c>
      <c r="B17" s="13" t="s">
        <v>96</v>
      </c>
      <c r="C17" s="10" t="s">
        <v>50</v>
      </c>
      <c r="D17" s="13">
        <v>8</v>
      </c>
      <c r="E17" s="13">
        <v>0</v>
      </c>
      <c r="F17" s="13">
        <v>0</v>
      </c>
      <c r="G17" s="13" t="s">
        <v>97</v>
      </c>
      <c r="H17" s="11">
        <f t="shared" si="0"/>
        <v>14</v>
      </c>
      <c r="I17" s="12">
        <f t="shared" si="1"/>
        <v>3.3472803347280332E-2</v>
      </c>
    </row>
    <row r="18" spans="1:9" ht="20" customHeight="1" x14ac:dyDescent="0.35">
      <c r="A18" s="5" t="s">
        <v>89</v>
      </c>
      <c r="B18" s="13" t="s">
        <v>90</v>
      </c>
      <c r="C18" s="10" t="s">
        <v>50</v>
      </c>
      <c r="D18" s="13">
        <v>6</v>
      </c>
      <c r="E18" s="13">
        <v>2</v>
      </c>
      <c r="F18" s="13">
        <v>1</v>
      </c>
      <c r="G18" s="13" t="s">
        <v>91</v>
      </c>
      <c r="H18" s="11">
        <f t="shared" si="0"/>
        <v>16</v>
      </c>
      <c r="I18" s="12">
        <f t="shared" si="1"/>
        <v>2.5104602510460251E-2</v>
      </c>
    </row>
    <row r="19" spans="1:9" ht="20" customHeight="1" x14ac:dyDescent="0.35">
      <c r="A19" s="37" t="s">
        <v>144</v>
      </c>
      <c r="B19" s="13" t="s">
        <v>147</v>
      </c>
      <c r="C19" s="14" t="s">
        <v>54</v>
      </c>
      <c r="D19" s="13">
        <v>5</v>
      </c>
      <c r="E19" s="13">
        <v>0</v>
      </c>
      <c r="F19" s="13">
        <v>0</v>
      </c>
      <c r="G19" s="13" t="s">
        <v>115</v>
      </c>
      <c r="H19" s="11">
        <f t="shared" si="0"/>
        <v>17</v>
      </c>
      <c r="I19" s="12">
        <f t="shared" si="1"/>
        <v>2.0920502092050208E-2</v>
      </c>
    </row>
    <row r="20" spans="1:9" ht="20" customHeight="1" x14ac:dyDescent="0.35">
      <c r="A20" s="37" t="s">
        <v>137</v>
      </c>
      <c r="B20" s="13" t="s">
        <v>151</v>
      </c>
      <c r="C20" s="14" t="s">
        <v>54</v>
      </c>
      <c r="D20" s="13">
        <v>4</v>
      </c>
      <c r="E20" s="13">
        <v>0</v>
      </c>
      <c r="F20" s="13">
        <v>0</v>
      </c>
      <c r="G20" s="13" t="s">
        <v>115</v>
      </c>
      <c r="H20" s="11">
        <f t="shared" si="0"/>
        <v>18</v>
      </c>
      <c r="I20" s="12">
        <f t="shared" si="1"/>
        <v>1.6736401673640166E-2</v>
      </c>
    </row>
    <row r="21" spans="1:9" ht="20" customHeight="1" x14ac:dyDescent="0.35">
      <c r="A21" s="7" t="s">
        <v>98</v>
      </c>
      <c r="B21" s="9" t="s">
        <v>99</v>
      </c>
      <c r="C21" s="14" t="s">
        <v>54</v>
      </c>
      <c r="D21" s="9">
        <v>3</v>
      </c>
      <c r="E21" s="9">
        <v>1</v>
      </c>
      <c r="F21" s="9">
        <v>0</v>
      </c>
      <c r="G21" s="9" t="s">
        <v>100</v>
      </c>
      <c r="H21" s="11">
        <f t="shared" si="0"/>
        <v>19</v>
      </c>
      <c r="I21" s="12">
        <f t="shared" si="1"/>
        <v>1.2552301255230125E-2</v>
      </c>
    </row>
    <row r="22" spans="1:9" ht="20" customHeight="1" x14ac:dyDescent="0.35">
      <c r="A22" s="5" t="s">
        <v>101</v>
      </c>
      <c r="B22" s="13" t="s">
        <v>102</v>
      </c>
      <c r="C22" s="10" t="s">
        <v>50</v>
      </c>
      <c r="D22" s="13">
        <v>3</v>
      </c>
      <c r="E22" s="13">
        <v>0</v>
      </c>
      <c r="F22" s="13">
        <v>1</v>
      </c>
      <c r="G22" s="13" t="s">
        <v>103</v>
      </c>
      <c r="H22" s="11">
        <f t="shared" si="0"/>
        <v>19</v>
      </c>
      <c r="I22" s="12">
        <f t="shared" si="1"/>
        <v>1.2552301255230125E-2</v>
      </c>
    </row>
    <row r="23" spans="1:9" ht="20" customHeight="1" x14ac:dyDescent="0.35">
      <c r="A23" s="7" t="s">
        <v>104</v>
      </c>
      <c r="B23" s="9" t="s">
        <v>105</v>
      </c>
      <c r="C23" s="14" t="s">
        <v>54</v>
      </c>
      <c r="D23" s="9">
        <v>2</v>
      </c>
      <c r="E23" s="9">
        <v>0</v>
      </c>
      <c r="F23" s="9">
        <v>0</v>
      </c>
      <c r="G23" s="9" t="s">
        <v>106</v>
      </c>
      <c r="H23" s="11">
        <f t="shared" si="0"/>
        <v>21</v>
      </c>
      <c r="I23" s="12">
        <f t="shared" si="1"/>
        <v>8.368200836820083E-3</v>
      </c>
    </row>
    <row r="24" spans="1:9" ht="20" customHeight="1" x14ac:dyDescent="0.35">
      <c r="A24" s="5" t="s">
        <v>107</v>
      </c>
      <c r="B24" s="13" t="s">
        <v>108</v>
      </c>
      <c r="C24" s="14" t="s">
        <v>54</v>
      </c>
      <c r="D24" s="13">
        <v>2</v>
      </c>
      <c r="E24" s="13">
        <v>0</v>
      </c>
      <c r="F24" s="13">
        <v>1</v>
      </c>
      <c r="G24" s="13" t="s">
        <v>109</v>
      </c>
      <c r="H24" s="11">
        <f t="shared" si="0"/>
        <v>21</v>
      </c>
      <c r="I24" s="12">
        <f t="shared" si="1"/>
        <v>8.368200836820083E-3</v>
      </c>
    </row>
    <row r="25" spans="1:9" ht="20" customHeight="1" x14ac:dyDescent="0.35">
      <c r="A25" s="37" t="s">
        <v>139</v>
      </c>
      <c r="B25" s="13" t="s">
        <v>149</v>
      </c>
      <c r="C25" s="14" t="s">
        <v>54</v>
      </c>
      <c r="D25" s="13">
        <v>2</v>
      </c>
      <c r="E25" s="13">
        <v>0</v>
      </c>
      <c r="F25" s="13">
        <v>0</v>
      </c>
      <c r="G25" s="13" t="s">
        <v>115</v>
      </c>
      <c r="H25" s="11">
        <f t="shared" si="0"/>
        <v>21</v>
      </c>
      <c r="I25" s="12">
        <f t="shared" si="1"/>
        <v>8.368200836820083E-3</v>
      </c>
    </row>
    <row r="26" spans="1:9" ht="20" customHeight="1" x14ac:dyDescent="0.35">
      <c r="A26" s="37" t="s">
        <v>146</v>
      </c>
      <c r="B26" s="9" t="s">
        <v>150</v>
      </c>
      <c r="C26" s="14" t="s">
        <v>54</v>
      </c>
      <c r="D26" s="9">
        <v>2</v>
      </c>
      <c r="E26" s="9">
        <v>0</v>
      </c>
      <c r="F26" s="9">
        <v>0</v>
      </c>
      <c r="G26" s="9" t="s">
        <v>118</v>
      </c>
      <c r="H26" s="11">
        <f t="shared" si="0"/>
        <v>21</v>
      </c>
      <c r="I26" s="12">
        <f t="shared" si="1"/>
        <v>8.368200836820083E-3</v>
      </c>
    </row>
    <row r="27" spans="1:9" ht="20" customHeight="1" x14ac:dyDescent="0.35">
      <c r="A27" s="37" t="s">
        <v>141</v>
      </c>
      <c r="B27" s="13" t="s">
        <v>152</v>
      </c>
      <c r="C27" s="14" t="s">
        <v>54</v>
      </c>
      <c r="D27" s="13">
        <v>1</v>
      </c>
      <c r="E27" s="13">
        <v>0</v>
      </c>
      <c r="F27" s="13">
        <v>0</v>
      </c>
      <c r="G27" s="13" t="s">
        <v>115</v>
      </c>
      <c r="H27" s="11">
        <f t="shared" si="0"/>
        <v>25</v>
      </c>
      <c r="I27" s="12">
        <f t="shared" si="1"/>
        <v>4.1841004184100415E-3</v>
      </c>
    </row>
    <row r="28" spans="1:9" ht="20" customHeight="1" x14ac:dyDescent="0.35">
      <c r="A28" s="37" t="s">
        <v>145</v>
      </c>
      <c r="B28" s="9" t="s">
        <v>148</v>
      </c>
      <c r="C28" s="14" t="s">
        <v>54</v>
      </c>
      <c r="D28" s="9">
        <v>1</v>
      </c>
      <c r="E28" s="9">
        <v>0</v>
      </c>
      <c r="F28" s="9">
        <v>0</v>
      </c>
      <c r="G28" s="9" t="s">
        <v>118</v>
      </c>
      <c r="H28" s="11">
        <f t="shared" si="0"/>
        <v>25</v>
      </c>
      <c r="I28" s="12">
        <f t="shared" si="1"/>
        <v>4.1841004184100415E-3</v>
      </c>
    </row>
    <row r="29" spans="1:9" ht="20" customHeight="1" x14ac:dyDescent="0.35">
      <c r="A29" s="5" t="s">
        <v>113</v>
      </c>
      <c r="B29" s="13" t="s">
        <v>114</v>
      </c>
      <c r="C29" s="10" t="s">
        <v>50</v>
      </c>
      <c r="D29" s="13">
        <v>1</v>
      </c>
      <c r="E29" s="13">
        <v>0</v>
      </c>
      <c r="F29" s="13">
        <v>0</v>
      </c>
      <c r="G29" s="13" t="s">
        <v>115</v>
      </c>
      <c r="H29" s="11">
        <f t="shared" si="0"/>
        <v>25</v>
      </c>
      <c r="I29" s="12">
        <f t="shared" si="1"/>
        <v>4.1841004184100415E-3</v>
      </c>
    </row>
    <row r="30" spans="1:9" ht="20" customHeight="1" x14ac:dyDescent="0.35">
      <c r="A30" s="7" t="s">
        <v>110</v>
      </c>
      <c r="B30" s="9" t="s">
        <v>111</v>
      </c>
      <c r="C30" s="14" t="s">
        <v>54</v>
      </c>
      <c r="D30" s="9">
        <v>1</v>
      </c>
      <c r="E30" s="9">
        <v>0</v>
      </c>
      <c r="F30" s="9">
        <v>0</v>
      </c>
      <c r="G30" s="9" t="s">
        <v>112</v>
      </c>
      <c r="H30" s="11">
        <f t="shared" si="0"/>
        <v>25</v>
      </c>
      <c r="I30" s="12">
        <f t="shared" si="1"/>
        <v>4.1841004184100415E-3</v>
      </c>
    </row>
    <row r="31" spans="1:9" ht="20" customHeight="1" x14ac:dyDescent="0.35">
      <c r="A31" s="37" t="s">
        <v>140</v>
      </c>
      <c r="B31" s="9" t="s">
        <v>114</v>
      </c>
      <c r="C31" s="14" t="s">
        <v>54</v>
      </c>
      <c r="D31" s="9">
        <v>0</v>
      </c>
      <c r="E31" s="9">
        <v>0</v>
      </c>
      <c r="F31" s="9">
        <v>0</v>
      </c>
      <c r="G31" s="9" t="s">
        <v>118</v>
      </c>
      <c r="H31" s="11">
        <f t="shared" si="0"/>
        <v>29</v>
      </c>
      <c r="I31" s="12">
        <f t="shared" si="1"/>
        <v>0</v>
      </c>
    </row>
    <row r="32" spans="1:9" ht="24" customHeight="1" x14ac:dyDescent="0.35">
      <c r="A32" s="7" t="s">
        <v>116</v>
      </c>
      <c r="B32" s="9" t="s">
        <v>117</v>
      </c>
      <c r="C32" s="10" t="s">
        <v>50</v>
      </c>
      <c r="D32" s="9">
        <v>0</v>
      </c>
      <c r="E32" s="9">
        <v>0</v>
      </c>
      <c r="F32" s="9">
        <v>0</v>
      </c>
      <c r="G32" s="9" t="s">
        <v>118</v>
      </c>
      <c r="H32" s="11">
        <f t="shared" si="0"/>
        <v>29</v>
      </c>
      <c r="I32" s="12">
        <f t="shared" si="1"/>
        <v>0</v>
      </c>
    </row>
    <row r="33" spans="1:9" ht="20" customHeight="1" x14ac:dyDescent="0.35">
      <c r="A33" s="15" t="s">
        <v>119</v>
      </c>
      <c r="B33" s="16"/>
      <c r="C33" s="16"/>
      <c r="D33" s="17">
        <f>SUM(D3:D32)</f>
        <v>239</v>
      </c>
      <c r="E33" s="17">
        <f>SUM(E3:E32)</f>
        <v>29</v>
      </c>
      <c r="F33" s="17">
        <f>SUM(F3:F32)</f>
        <v>9</v>
      </c>
      <c r="G33" s="16"/>
      <c r="H33" s="16"/>
      <c r="I33" s="16"/>
    </row>
  </sheetData>
  <autoFilter ref="A2:I32" xr:uid="{00000000-0001-0000-0200-000000000000}">
    <sortState xmlns:xlrd2="http://schemas.microsoft.com/office/spreadsheetml/2017/richdata2" ref="A3:I32">
      <sortCondition descending="1" ref="D2:D32"/>
    </sortState>
  </autoFilter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2" topLeftCell="A7" activePane="bottomLeft" state="frozen"/>
      <selection pane="bottomLeft" activeCell="A9" sqref="A9"/>
    </sheetView>
  </sheetViews>
  <sheetFormatPr defaultRowHeight="14.5" x14ac:dyDescent="0.35"/>
  <cols>
    <col min="1" max="1" width="12" customWidth="1"/>
    <col min="2" max="2" width="24" customWidth="1"/>
    <col min="3" max="3" width="12" customWidth="1"/>
    <col min="4" max="4" width="14" customWidth="1"/>
  </cols>
  <sheetData>
    <row r="1" spans="1:4" ht="3.5" customHeight="1" x14ac:dyDescent="0.35">
      <c r="A1" s="44" t="s">
        <v>120</v>
      </c>
      <c r="B1" s="40"/>
      <c r="C1" s="40"/>
      <c r="D1" s="40"/>
    </row>
    <row r="2" spans="1:4" ht="22" customHeight="1" x14ac:dyDescent="0.35">
      <c r="A2" s="18" t="s">
        <v>121</v>
      </c>
      <c r="B2" s="18" t="s">
        <v>39</v>
      </c>
      <c r="C2" s="46" t="s">
        <v>43</v>
      </c>
      <c r="D2" s="18" t="s">
        <v>122</v>
      </c>
    </row>
    <row r="3" spans="1:4" ht="20" customHeight="1" x14ac:dyDescent="0.35">
      <c r="A3" s="9" t="s">
        <v>153</v>
      </c>
      <c r="B3" s="7" t="s">
        <v>154</v>
      </c>
      <c r="C3" s="19">
        <v>5</v>
      </c>
      <c r="D3" s="9">
        <v>3</v>
      </c>
    </row>
    <row r="4" spans="1:4" ht="20" customHeight="1" x14ac:dyDescent="0.35">
      <c r="A4" s="20" t="s">
        <v>155</v>
      </c>
      <c r="B4" s="21" t="s">
        <v>62</v>
      </c>
      <c r="C4" s="22">
        <v>4</v>
      </c>
      <c r="D4" s="20">
        <v>3</v>
      </c>
    </row>
    <row r="5" spans="1:4" ht="20" customHeight="1" x14ac:dyDescent="0.35">
      <c r="A5" s="9" t="s">
        <v>156</v>
      </c>
      <c r="B5" s="7" t="s">
        <v>56</v>
      </c>
      <c r="C5" s="19">
        <v>4</v>
      </c>
      <c r="D5" s="9">
        <v>3</v>
      </c>
    </row>
    <row r="6" spans="1:4" ht="20" customHeight="1" x14ac:dyDescent="0.35">
      <c r="A6" s="20" t="s">
        <v>158</v>
      </c>
      <c r="B6" s="21" t="s">
        <v>68</v>
      </c>
      <c r="C6" s="22">
        <v>3</v>
      </c>
      <c r="D6" s="20">
        <v>1</v>
      </c>
    </row>
    <row r="7" spans="1:4" ht="20" customHeight="1" x14ac:dyDescent="0.35">
      <c r="A7" s="9" t="s">
        <v>159</v>
      </c>
      <c r="B7" s="7" t="s">
        <v>157</v>
      </c>
      <c r="C7" s="19">
        <v>3</v>
      </c>
      <c r="D7" s="9">
        <v>1</v>
      </c>
    </row>
    <row r="8" spans="1:4" ht="20" customHeight="1" x14ac:dyDescent="0.35">
      <c r="A8" s="20" t="s">
        <v>160</v>
      </c>
      <c r="B8" s="21" t="s">
        <v>166</v>
      </c>
      <c r="C8" s="22">
        <v>3</v>
      </c>
      <c r="D8" s="20">
        <v>3</v>
      </c>
    </row>
    <row r="9" spans="1:4" ht="20" customHeight="1" x14ac:dyDescent="0.35">
      <c r="A9" s="9" t="s">
        <v>161</v>
      </c>
      <c r="B9" s="7" t="s">
        <v>77</v>
      </c>
      <c r="C9" s="19">
        <v>2</v>
      </c>
      <c r="D9" s="9">
        <v>1</v>
      </c>
    </row>
    <row r="10" spans="1:4" ht="20" customHeight="1" x14ac:dyDescent="0.35">
      <c r="A10" s="20" t="s">
        <v>162</v>
      </c>
      <c r="B10" s="21" t="s">
        <v>89</v>
      </c>
      <c r="C10" s="22">
        <v>2</v>
      </c>
      <c r="D10" s="20">
        <v>2</v>
      </c>
    </row>
    <row r="11" spans="1:4" ht="20" customHeight="1" x14ac:dyDescent="0.35">
      <c r="A11" s="9" t="s">
        <v>163</v>
      </c>
      <c r="B11" s="7" t="s">
        <v>59</v>
      </c>
      <c r="C11" s="19">
        <v>2</v>
      </c>
      <c r="D11" s="9">
        <v>3</v>
      </c>
    </row>
    <row r="12" spans="1:4" ht="20" customHeight="1" x14ac:dyDescent="0.35">
      <c r="A12" s="20" t="s">
        <v>165</v>
      </c>
      <c r="B12" s="21" t="s">
        <v>74</v>
      </c>
      <c r="C12" s="22">
        <v>1</v>
      </c>
      <c r="D12" s="20">
        <v>2</v>
      </c>
    </row>
    <row r="13" spans="1:4" ht="15.5" x14ac:dyDescent="0.35">
      <c r="A13" s="9" t="s">
        <v>167</v>
      </c>
      <c r="B13" s="7" t="s">
        <v>164</v>
      </c>
      <c r="C13" s="19">
        <v>1</v>
      </c>
      <c r="D13" s="9">
        <v>2</v>
      </c>
    </row>
    <row r="14" spans="1:4" ht="15.5" x14ac:dyDescent="0.35">
      <c r="A14" s="20" t="s">
        <v>168</v>
      </c>
      <c r="B14" s="21" t="s">
        <v>48</v>
      </c>
      <c r="C14" s="22">
        <v>1</v>
      </c>
      <c r="D14" s="20">
        <v>3</v>
      </c>
    </row>
    <row r="15" spans="1:4" ht="15.5" x14ac:dyDescent="0.35">
      <c r="A15" s="9" t="s">
        <v>169</v>
      </c>
      <c r="B15" s="7" t="s">
        <v>139</v>
      </c>
      <c r="C15" s="19">
        <v>1</v>
      </c>
      <c r="D15" s="9">
        <v>1</v>
      </c>
    </row>
    <row r="16" spans="1:4" ht="15.5" x14ac:dyDescent="0.35">
      <c r="A16" s="20" t="s">
        <v>170</v>
      </c>
      <c r="B16" s="21" t="s">
        <v>171</v>
      </c>
      <c r="C16" s="22">
        <v>1</v>
      </c>
      <c r="D16" s="20">
        <v>1</v>
      </c>
    </row>
  </sheetData>
  <autoFilter ref="A2:D2" xr:uid="{00000000-0001-0000-0300-000000000000}">
    <sortState xmlns:xlrd2="http://schemas.microsoft.com/office/spreadsheetml/2017/richdata2" ref="A3:D16">
      <sortCondition descending="1" ref="C2"/>
    </sortState>
  </autoFilter>
  <mergeCells count="1">
    <mergeCell ref="A1:D1"/>
  </mergeCells>
  <phoneticPr fontId="2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showGridLines="0" workbookViewId="0">
      <pane ySplit="2" topLeftCell="A3" activePane="bottomLeft" state="frozen"/>
      <selection pane="bottomLeft" activeCell="F7" sqref="F7"/>
    </sheetView>
  </sheetViews>
  <sheetFormatPr defaultRowHeight="14.5" x14ac:dyDescent="0.35"/>
  <cols>
    <col min="1" max="1" width="12" customWidth="1"/>
    <col min="2" max="2" width="24" customWidth="1"/>
    <col min="3" max="3" width="12" customWidth="1"/>
    <col min="4" max="4" width="14" customWidth="1"/>
  </cols>
  <sheetData>
    <row r="1" spans="1:4" ht="30" customHeight="1" x14ac:dyDescent="0.35">
      <c r="A1" s="45" t="s">
        <v>123</v>
      </c>
      <c r="B1" s="40"/>
      <c r="C1" s="40"/>
      <c r="D1" s="40"/>
    </row>
    <row r="2" spans="1:4" ht="22" customHeight="1" x14ac:dyDescent="0.35">
      <c r="A2" s="8" t="s">
        <v>121</v>
      </c>
      <c r="B2" s="8" t="s">
        <v>39</v>
      </c>
      <c r="C2" s="8" t="s">
        <v>44</v>
      </c>
      <c r="D2" s="8" t="s">
        <v>122</v>
      </c>
    </row>
    <row r="3" spans="1:4" ht="20" customHeight="1" x14ac:dyDescent="0.35">
      <c r="A3" s="9" t="s">
        <v>153</v>
      </c>
      <c r="B3" s="7" t="s">
        <v>56</v>
      </c>
      <c r="C3" s="23">
        <v>2</v>
      </c>
      <c r="D3" s="9">
        <v>2</v>
      </c>
    </row>
    <row r="4" spans="1:4" ht="20" customHeight="1" x14ac:dyDescent="0.35">
      <c r="A4" s="24" t="s">
        <v>155</v>
      </c>
      <c r="B4" s="25" t="s">
        <v>154</v>
      </c>
      <c r="C4" s="26">
        <v>2</v>
      </c>
      <c r="D4" s="24">
        <v>1</v>
      </c>
    </row>
    <row r="5" spans="1:4" ht="20" customHeight="1" x14ac:dyDescent="0.35">
      <c r="A5" s="9" t="s">
        <v>156</v>
      </c>
      <c r="B5" s="7" t="s">
        <v>101</v>
      </c>
      <c r="C5" s="23">
        <v>1</v>
      </c>
      <c r="D5" s="9">
        <v>1</v>
      </c>
    </row>
    <row r="6" spans="1:4" ht="20" customHeight="1" x14ac:dyDescent="0.35">
      <c r="A6" s="24" t="s">
        <v>158</v>
      </c>
      <c r="B6" s="25" t="s">
        <v>157</v>
      </c>
      <c r="C6" s="26">
        <v>1</v>
      </c>
      <c r="D6" s="24">
        <v>1</v>
      </c>
    </row>
    <row r="7" spans="1:4" ht="20" customHeight="1" x14ac:dyDescent="0.35">
      <c r="A7" s="9" t="s">
        <v>159</v>
      </c>
      <c r="B7" s="7" t="s">
        <v>107</v>
      </c>
      <c r="C7" s="23">
        <v>1</v>
      </c>
      <c r="D7" s="9">
        <v>1</v>
      </c>
    </row>
    <row r="8" spans="1:4" ht="20" customHeight="1" x14ac:dyDescent="0.35">
      <c r="A8" s="24" t="s">
        <v>160</v>
      </c>
      <c r="B8" s="25" t="s">
        <v>89</v>
      </c>
      <c r="C8" s="26">
        <v>1</v>
      </c>
      <c r="D8" s="24">
        <v>2</v>
      </c>
    </row>
    <row r="9" spans="1:4" ht="20" customHeight="1" x14ac:dyDescent="0.35">
      <c r="A9" s="9" t="s">
        <v>161</v>
      </c>
      <c r="B9" s="7" t="s">
        <v>48</v>
      </c>
      <c r="C9" s="23">
        <v>1</v>
      </c>
      <c r="D9" s="9">
        <v>2</v>
      </c>
    </row>
    <row r="10" spans="1:4" ht="20" customHeight="1" x14ac:dyDescent="0.35">
      <c r="A10" s="24" t="s">
        <v>162</v>
      </c>
      <c r="B10" s="25" t="s">
        <v>71</v>
      </c>
      <c r="C10" s="26">
        <v>1</v>
      </c>
      <c r="D10" s="24">
        <v>2</v>
      </c>
    </row>
    <row r="11" spans="1:4" ht="15.5" x14ac:dyDescent="0.35">
      <c r="A11" s="9" t="s">
        <v>163</v>
      </c>
      <c r="B11" s="7" t="s">
        <v>137</v>
      </c>
      <c r="C11" s="23">
        <v>1</v>
      </c>
      <c r="D11" s="9">
        <v>1</v>
      </c>
    </row>
  </sheetData>
  <autoFilter ref="A2:D2" xr:uid="{00000000-0001-0000-0400-000000000000}">
    <sortState xmlns:xlrd2="http://schemas.microsoft.com/office/spreadsheetml/2017/richdata2" ref="A3:D11">
      <sortCondition descending="1" ref="C2"/>
    </sortState>
  </autoFilter>
  <mergeCells count="1">
    <mergeCell ref="A1:D1"/>
  </mergeCells>
  <phoneticPr fontId="2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2"/>
  <sheetViews>
    <sheetView showGridLines="0" workbookViewId="0">
      <selection activeCell="D6" sqref="D6"/>
    </sheetView>
  </sheetViews>
  <sheetFormatPr defaultRowHeight="14.5" x14ac:dyDescent="0.35"/>
  <cols>
    <col min="1" max="1" width="22" customWidth="1"/>
    <col min="2" max="6" width="14" customWidth="1"/>
  </cols>
  <sheetData>
    <row r="1" spans="1:5" ht="30" customHeight="1" x14ac:dyDescent="0.35">
      <c r="A1" s="42" t="s">
        <v>124</v>
      </c>
      <c r="B1" s="40"/>
      <c r="C1" s="40"/>
      <c r="D1" s="40"/>
      <c r="E1" s="40"/>
    </row>
    <row r="2" spans="1:5" ht="22" customHeight="1" x14ac:dyDescent="0.35">
      <c r="A2" s="27" t="s">
        <v>125</v>
      </c>
      <c r="B2" s="28" t="s">
        <v>126</v>
      </c>
      <c r="C2" s="28" t="s">
        <v>127</v>
      </c>
      <c r="D2" s="28" t="s">
        <v>128</v>
      </c>
      <c r="E2" s="28" t="s">
        <v>129</v>
      </c>
    </row>
    <row r="3" spans="1:5" ht="20" customHeight="1" x14ac:dyDescent="0.35">
      <c r="A3" s="29" t="s">
        <v>48</v>
      </c>
      <c r="B3" s="30">
        <v>29</v>
      </c>
      <c r="C3" s="30">
        <v>42</v>
      </c>
      <c r="D3" s="30">
        <v>1</v>
      </c>
      <c r="E3" s="30">
        <f>_xlfn.XLOOKUP(A3,'🟥 Jogadores_Mes'!A:A,'🟥 Jogadores_Mes'!D:D)</f>
        <v>24</v>
      </c>
    </row>
    <row r="4" spans="1:5" ht="20" customHeight="1" x14ac:dyDescent="0.35">
      <c r="A4" s="31" t="s">
        <v>62</v>
      </c>
      <c r="B4" s="32">
        <v>24</v>
      </c>
      <c r="C4" s="32">
        <v>61</v>
      </c>
      <c r="D4" s="32">
        <v>33</v>
      </c>
      <c r="E4" s="32">
        <f>_xlfn.XLOOKUP(A4,'🟥 Jogadores_Mes'!A:A,'🟥 Jogadores_Mes'!D:D)</f>
        <v>19</v>
      </c>
    </row>
    <row r="5" spans="1:5" ht="20" customHeight="1" x14ac:dyDescent="0.35">
      <c r="A5" s="29" t="s">
        <v>56</v>
      </c>
      <c r="B5" s="30">
        <v>54</v>
      </c>
      <c r="C5" s="30">
        <v>46</v>
      </c>
      <c r="D5" s="30">
        <v>10</v>
      </c>
      <c r="E5" s="30">
        <f>_xlfn.XLOOKUP(A5,'🟥 Jogadores_Mes'!A:A,'🟥 Jogadores_Mes'!D:D)</f>
        <v>18</v>
      </c>
    </row>
    <row r="6" spans="1:5" ht="20" customHeight="1" x14ac:dyDescent="0.35">
      <c r="A6" s="31" t="s">
        <v>59</v>
      </c>
      <c r="B6" s="32">
        <v>65</v>
      </c>
      <c r="C6" s="32">
        <v>73</v>
      </c>
      <c r="D6" s="32">
        <v>4</v>
      </c>
      <c r="E6" s="32">
        <f>_xlfn.XLOOKUP(A6,'🟥 Jogadores_Mes'!A:A,'🟥 Jogadores_Mes'!D:D)</f>
        <v>18</v>
      </c>
    </row>
    <row r="7" spans="1:5" ht="20" customHeight="1" x14ac:dyDescent="0.35">
      <c r="A7" s="29" t="s">
        <v>71</v>
      </c>
      <c r="B7" s="30">
        <v>50</v>
      </c>
      <c r="C7" s="30">
        <v>69</v>
      </c>
      <c r="D7" s="30">
        <v>11</v>
      </c>
      <c r="E7" s="30">
        <f>_xlfn.XLOOKUP(A7,'🟥 Jogadores_Mes'!A:A,'🟥 Jogadores_Mes'!D:D)</f>
        <v>16</v>
      </c>
    </row>
    <row r="8" spans="1:5" ht="20" customHeight="1" x14ac:dyDescent="0.35">
      <c r="A8" s="31" t="s">
        <v>80</v>
      </c>
      <c r="B8" s="32">
        <v>27</v>
      </c>
      <c r="C8" s="32">
        <v>30</v>
      </c>
      <c r="D8" s="32">
        <v>3</v>
      </c>
      <c r="E8" s="32">
        <f>_xlfn.XLOOKUP(A8,'🟥 Jogadores_Mes'!A:A,'🟥 Jogadores_Mes'!D:D)</f>
        <v>15</v>
      </c>
    </row>
    <row r="9" spans="1:5" ht="20" customHeight="1" x14ac:dyDescent="0.35">
      <c r="A9" s="29" t="s">
        <v>52</v>
      </c>
      <c r="B9" s="30"/>
      <c r="C9" s="30"/>
      <c r="D9" s="30">
        <v>20</v>
      </c>
      <c r="E9" s="30">
        <f>_xlfn.XLOOKUP(A9,'🟥 Jogadores_Mes'!A:A,'🟥 Jogadores_Mes'!D:D)</f>
        <v>14</v>
      </c>
    </row>
    <row r="10" spans="1:5" ht="20" customHeight="1" x14ac:dyDescent="0.35">
      <c r="A10" s="31" t="s">
        <v>65</v>
      </c>
      <c r="B10" s="32">
        <v>12</v>
      </c>
      <c r="C10" s="32">
        <v>49</v>
      </c>
      <c r="D10" s="32">
        <v>10</v>
      </c>
      <c r="E10" s="32">
        <f>_xlfn.XLOOKUP(A10,'🟥 Jogadores_Mes'!A:A,'🟥 Jogadores_Mes'!D:D)</f>
        <v>13</v>
      </c>
    </row>
    <row r="11" spans="1:5" ht="20" customHeight="1" x14ac:dyDescent="0.35">
      <c r="A11" s="29" t="s">
        <v>86</v>
      </c>
      <c r="B11" s="30"/>
      <c r="C11" s="30"/>
      <c r="D11" s="30">
        <v>22</v>
      </c>
      <c r="E11" s="30">
        <f>_xlfn.XLOOKUP(A11,'🟥 Jogadores_Mes'!A:A,'🟥 Jogadores_Mes'!D:D)</f>
        <v>12</v>
      </c>
    </row>
    <row r="12" spans="1:5" ht="20" customHeight="1" x14ac:dyDescent="0.35">
      <c r="A12" s="31" t="s">
        <v>68</v>
      </c>
      <c r="B12" s="32"/>
      <c r="C12" s="32"/>
      <c r="D12" s="32">
        <v>14</v>
      </c>
      <c r="E12" s="32">
        <f>_xlfn.XLOOKUP(A12,'🟥 Jogadores_Mes'!A:A,'🟥 Jogadores_Mes'!D:D)</f>
        <v>12</v>
      </c>
    </row>
    <row r="13" spans="1:5" ht="20" customHeight="1" x14ac:dyDescent="0.35">
      <c r="A13" s="29" t="s">
        <v>74</v>
      </c>
      <c r="B13" s="30"/>
      <c r="C13" s="30"/>
      <c r="D13" s="30">
        <v>5</v>
      </c>
      <c r="E13" s="30">
        <f>_xlfn.XLOOKUP(A13,'🟥 Jogadores_Mes'!A:A,'🟥 Jogadores_Mes'!D:D)</f>
        <v>11</v>
      </c>
    </row>
    <row r="14" spans="1:5" ht="20" customHeight="1" x14ac:dyDescent="0.35">
      <c r="A14" s="31" t="s">
        <v>83</v>
      </c>
      <c r="B14" s="32"/>
      <c r="C14" s="32"/>
      <c r="D14" s="32">
        <v>34</v>
      </c>
      <c r="E14" s="32">
        <f>_xlfn.XLOOKUP(A14,'🟥 Jogadores_Mes'!A:A,'🟥 Jogadores_Mes'!D:D)</f>
        <v>9</v>
      </c>
    </row>
    <row r="15" spans="1:5" ht="20" customHeight="1" x14ac:dyDescent="0.35">
      <c r="A15" s="29" t="s">
        <v>77</v>
      </c>
      <c r="B15" s="30"/>
      <c r="C15" s="30"/>
      <c r="D15" s="30">
        <v>2</v>
      </c>
      <c r="E15" s="30">
        <f>_xlfn.XLOOKUP(A15,'🟥 Jogadores_Mes'!A:A,'🟥 Jogadores_Mes'!D:D)</f>
        <v>9</v>
      </c>
    </row>
    <row r="16" spans="1:5" ht="20" customHeight="1" x14ac:dyDescent="0.35">
      <c r="A16" s="31" t="s">
        <v>92</v>
      </c>
      <c r="B16" s="32"/>
      <c r="C16" s="32"/>
      <c r="D16" s="32"/>
      <c r="E16" s="32">
        <f>_xlfn.XLOOKUP(A16,'🟥 Jogadores_Mes'!A:A,'🟥 Jogadores_Mes'!D:D)</f>
        <v>8</v>
      </c>
    </row>
    <row r="17" spans="1:5" ht="20" customHeight="1" x14ac:dyDescent="0.35">
      <c r="A17" s="29" t="s">
        <v>95</v>
      </c>
      <c r="B17" s="30"/>
      <c r="C17" s="30"/>
      <c r="D17" s="30"/>
      <c r="E17" s="30">
        <f>_xlfn.XLOOKUP(A17,'🟥 Jogadores_Mes'!A:A,'🟥 Jogadores_Mes'!D:D)</f>
        <v>8</v>
      </c>
    </row>
    <row r="18" spans="1:5" x14ac:dyDescent="0.35">
      <c r="A18" s="31" t="s">
        <v>89</v>
      </c>
      <c r="B18" s="32"/>
      <c r="C18" s="32"/>
      <c r="D18" s="32"/>
      <c r="E18" s="32">
        <f>_xlfn.XLOOKUP(A18,'🟥 Jogadores_Mes'!A:A,'🟥 Jogadores_Mes'!D:D)</f>
        <v>6</v>
      </c>
    </row>
    <row r="19" spans="1:5" x14ac:dyDescent="0.35">
      <c r="A19" s="29" t="s">
        <v>144</v>
      </c>
      <c r="B19" s="30"/>
      <c r="C19" s="30"/>
      <c r="D19" s="30"/>
      <c r="E19" s="30">
        <f>_xlfn.XLOOKUP(A19,'🟥 Jogadores_Mes'!A:A,'🟥 Jogadores_Mes'!D:D)</f>
        <v>5</v>
      </c>
    </row>
    <row r="20" spans="1:5" x14ac:dyDescent="0.35">
      <c r="A20" s="31" t="s">
        <v>137</v>
      </c>
      <c r="B20" s="32"/>
      <c r="C20" s="32"/>
      <c r="D20" s="32"/>
      <c r="E20" s="32">
        <f>_xlfn.XLOOKUP(A20,'🟥 Jogadores_Mes'!A:A,'🟥 Jogadores_Mes'!D:D)</f>
        <v>4</v>
      </c>
    </row>
    <row r="21" spans="1:5" x14ac:dyDescent="0.35">
      <c r="A21" s="29" t="s">
        <v>98</v>
      </c>
      <c r="B21" s="30"/>
      <c r="C21" s="30"/>
      <c r="D21" s="30"/>
      <c r="E21" s="30">
        <f>_xlfn.XLOOKUP(A21,'🟥 Jogadores_Mes'!A:A,'🟥 Jogadores_Mes'!D:D)</f>
        <v>3</v>
      </c>
    </row>
    <row r="22" spans="1:5" x14ac:dyDescent="0.35">
      <c r="A22" s="31" t="s">
        <v>101</v>
      </c>
      <c r="B22" s="32"/>
      <c r="C22" s="32"/>
      <c r="D22" s="32"/>
      <c r="E22" s="32">
        <f>_xlfn.XLOOKUP(A22,'🟥 Jogadores_Mes'!A:A,'🟥 Jogadores_Mes'!D:D)</f>
        <v>3</v>
      </c>
    </row>
    <row r="23" spans="1:5" x14ac:dyDescent="0.35">
      <c r="A23" s="29" t="s">
        <v>104</v>
      </c>
      <c r="B23" s="30"/>
      <c r="C23" s="30"/>
      <c r="D23" s="30"/>
      <c r="E23" s="30">
        <f>_xlfn.XLOOKUP(A23,'🟥 Jogadores_Mes'!A:A,'🟥 Jogadores_Mes'!D:D)</f>
        <v>2</v>
      </c>
    </row>
    <row r="24" spans="1:5" x14ac:dyDescent="0.35">
      <c r="A24" s="31" t="s">
        <v>107</v>
      </c>
      <c r="B24" s="32"/>
      <c r="C24" s="32"/>
      <c r="D24" s="32"/>
      <c r="E24" s="32">
        <f>_xlfn.XLOOKUP(A24,'🟥 Jogadores_Mes'!A:A,'🟥 Jogadores_Mes'!D:D)</f>
        <v>2</v>
      </c>
    </row>
    <row r="25" spans="1:5" x14ac:dyDescent="0.35">
      <c r="A25" s="29" t="s">
        <v>139</v>
      </c>
      <c r="B25" s="30"/>
      <c r="C25" s="30"/>
      <c r="D25" s="30"/>
      <c r="E25" s="30">
        <f>_xlfn.XLOOKUP(A25,'🟥 Jogadores_Mes'!A:A,'🟥 Jogadores_Mes'!D:D)</f>
        <v>2</v>
      </c>
    </row>
    <row r="26" spans="1:5" x14ac:dyDescent="0.35">
      <c r="A26" s="31" t="s">
        <v>146</v>
      </c>
      <c r="B26" s="32"/>
      <c r="C26" s="32"/>
      <c r="D26" s="32"/>
      <c r="E26" s="32">
        <f>_xlfn.XLOOKUP(A26,'🟥 Jogadores_Mes'!A:A,'🟥 Jogadores_Mes'!D:D)</f>
        <v>2</v>
      </c>
    </row>
    <row r="27" spans="1:5" x14ac:dyDescent="0.35">
      <c r="A27" s="29" t="s">
        <v>141</v>
      </c>
      <c r="B27" s="30"/>
      <c r="C27" s="30"/>
      <c r="D27" s="30"/>
      <c r="E27" s="30">
        <f>_xlfn.XLOOKUP(A27,'🟥 Jogadores_Mes'!A:A,'🟥 Jogadores_Mes'!D:D)</f>
        <v>1</v>
      </c>
    </row>
    <row r="28" spans="1:5" x14ac:dyDescent="0.35">
      <c r="A28" s="31" t="s">
        <v>145</v>
      </c>
      <c r="B28" s="32"/>
      <c r="C28" s="32"/>
      <c r="D28" s="32"/>
      <c r="E28" s="32">
        <f>_xlfn.XLOOKUP(A28,'🟥 Jogadores_Mes'!A:A,'🟥 Jogadores_Mes'!D:D)</f>
        <v>1</v>
      </c>
    </row>
    <row r="29" spans="1:5" x14ac:dyDescent="0.35">
      <c r="A29" s="29" t="s">
        <v>113</v>
      </c>
      <c r="B29" s="30"/>
      <c r="C29" s="30"/>
      <c r="D29" s="30"/>
      <c r="E29" s="30">
        <f>_xlfn.XLOOKUP(A29,'🟥 Jogadores_Mes'!A:A,'🟥 Jogadores_Mes'!D:D)</f>
        <v>1</v>
      </c>
    </row>
    <row r="30" spans="1:5" x14ac:dyDescent="0.35">
      <c r="A30" s="31" t="s">
        <v>110</v>
      </c>
      <c r="B30" s="32"/>
      <c r="C30" s="32"/>
      <c r="D30" s="32"/>
      <c r="E30" s="32">
        <f>_xlfn.XLOOKUP(A30,'🟥 Jogadores_Mes'!A:A,'🟥 Jogadores_Mes'!D:D)</f>
        <v>1</v>
      </c>
    </row>
    <row r="31" spans="1:5" x14ac:dyDescent="0.35">
      <c r="A31" s="29" t="s">
        <v>140</v>
      </c>
      <c r="B31" s="30"/>
      <c r="C31" s="30"/>
      <c r="D31" s="30"/>
      <c r="E31" s="30">
        <f>_xlfn.XLOOKUP(A31,'🟥 Jogadores_Mes'!A:A,'🟥 Jogadores_Mes'!D:D)</f>
        <v>0</v>
      </c>
    </row>
    <row r="32" spans="1:5" x14ac:dyDescent="0.35">
      <c r="A32" s="31" t="s">
        <v>116</v>
      </c>
      <c r="B32" s="32"/>
      <c r="C32" s="32"/>
      <c r="D32" s="32"/>
      <c r="E32" s="32">
        <f>_xlfn.XLOOKUP(A32,'🟥 Jogadores_Mes'!A:A,'🟥 Jogadores_Mes'!D:D)</f>
        <v>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⚙️ Config</vt:lpstr>
      <vt:lpstr>📋 Instruções</vt:lpstr>
      <vt:lpstr>⚽ Ultima_Pelada</vt:lpstr>
      <vt:lpstr>🟥 Jogadores_Mes</vt:lpstr>
      <vt:lpstr>🟨 Artilharia_Mes</vt:lpstr>
      <vt:lpstr>🟧 Assistencias_Mes</vt:lpstr>
      <vt:lpstr>📅 Historico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Marlos Kleyton Teixeira Silva</cp:lastModifiedBy>
  <dcterms:created xsi:type="dcterms:W3CDTF">2026-05-22T10:36:23Z</dcterms:created>
  <dcterms:modified xsi:type="dcterms:W3CDTF">2026-05-26T19:20:28Z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9fea72e-161c-48c8-8e82-3fc1e9b3162c_Enabled">
    <vt:lpwstr>true</vt:lpwstr>
  </property>
  <property fmtid="{D5CDD505-2E9C-101B-9397-08002B2CF9AE}" pid="3" name="MSIP_Label_e9fea72e-161c-48c8-8e82-3fc1e9b3162c_SetDate">
    <vt:lpwstr>2026-05-26T14:29:47Z</vt:lpwstr>
  </property>
  <property fmtid="{D5CDD505-2E9C-101B-9397-08002B2CF9AE}" pid="4" name="MSIP_Label_e9fea72e-161c-48c8-8e82-3fc1e9b3162c_Method">
    <vt:lpwstr>Standard</vt:lpwstr>
  </property>
  <property fmtid="{D5CDD505-2E9C-101B-9397-08002B2CF9AE}" pid="5" name="MSIP_Label_e9fea72e-161c-48c8-8e82-3fc1e9b3162c_Name">
    <vt:lpwstr>Normal sensitivity label</vt:lpwstr>
  </property>
  <property fmtid="{D5CDD505-2E9C-101B-9397-08002B2CF9AE}" pid="6" name="MSIP_Label_e9fea72e-161c-48c8-8e82-3fc1e9b3162c_SiteId">
    <vt:lpwstr>ff9c7474-421d-4957-8d47-c4b64dec87b5</vt:lpwstr>
  </property>
  <property fmtid="{D5CDD505-2E9C-101B-9397-08002B2CF9AE}" pid="7" name="MSIP_Label_e9fea72e-161c-48c8-8e82-3fc1e9b3162c_ActionId">
    <vt:lpwstr>be06f61a-54ae-46f2-8807-54398e74795c</vt:lpwstr>
  </property>
  <property fmtid="{D5CDD505-2E9C-101B-9397-08002B2CF9AE}" pid="8" name="MSIP_Label_e9fea72e-161c-48c8-8e82-3fc1e9b3162c_ContentBits">
    <vt:lpwstr>0</vt:lpwstr>
  </property>
  <property fmtid="{D5CDD505-2E9C-101B-9397-08002B2CF9AE}" pid="9" name="MSIP_Label_e9fea72e-161c-48c8-8e82-3fc1e9b3162c_Tag">
    <vt:lpwstr>10, 3, 0, 1</vt:lpwstr>
  </property>
</Properties>
</file>