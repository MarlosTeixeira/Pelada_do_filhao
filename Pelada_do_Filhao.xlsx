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Instruções" sheetId="1" state="visible" r:id="rId1"/>
    <sheet xmlns:r="http://schemas.openxmlformats.org/officeDocument/2006/relationships" name="⚙️ Config" sheetId="2" state="visible" r:id="rId2"/>
    <sheet xmlns:r="http://schemas.openxmlformats.org/officeDocument/2006/relationships" name="🟥 Jogadores_Mes" sheetId="3" state="visible" r:id="rId3"/>
    <sheet xmlns:r="http://schemas.openxmlformats.org/officeDocument/2006/relationships" name="🟨 Artilharia_Mes" sheetId="4" state="visible" r:id="rId4"/>
    <sheet xmlns:r="http://schemas.openxmlformats.org/officeDocument/2006/relationships" name="🟧 Assistencias_Mes" sheetId="5" state="visible" r:id="rId5"/>
    <sheet xmlns:r="http://schemas.openxmlformats.org/officeDocument/2006/relationships" name="📅 Historico" sheetId="6" state="visible" r:id="rId6"/>
    <sheet xmlns:r="http://schemas.openxmlformats.org/officeDocument/2006/relationships" name="⚽ Ultima_Pelad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2">
    <font>
      <name val="Calibri"/>
      <family val="2"/>
      <color theme="1"/>
      <sz val="11"/>
      <scheme val="minor"/>
    </font>
    <font>
      <name val="Georgia"/>
      <b val="1"/>
      <color rgb="00F59E0B"/>
      <sz val="16"/>
    </font>
    <font>
      <name val="Georgia"/>
      <i val="1"/>
      <color rgb="009CA3AF"/>
      <sz val="10"/>
    </font>
    <font>
      <name val="Georgia"/>
      <b val="1"/>
      <color rgb="00F59E0B"/>
      <sz val="10"/>
    </font>
    <font>
      <name val="Georgia"/>
      <color rgb="00111827"/>
      <sz val="10"/>
    </font>
    <font>
      <name val="Georgia"/>
      <b val="1"/>
      <color rgb="00F59E0B"/>
      <sz val="13"/>
    </font>
    <font>
      <name val="Georgia"/>
      <color rgb="00111111"/>
      <sz val="11"/>
    </font>
    <font>
      <name val="Georgia"/>
      <b val="1"/>
      <color rgb="00111111"/>
      <sz val="11"/>
    </font>
    <font>
      <name val="Georgia"/>
      <b val="1"/>
      <color rgb="00FFFFFF"/>
      <sz val="10"/>
    </font>
    <font>
      <name val="Georgia"/>
      <b val="1"/>
      <color rgb="00B91C1C"/>
      <sz val="10"/>
    </font>
    <font>
      <name val="Georgia"/>
      <b val="1"/>
      <color rgb="00D97706"/>
      <sz val="11"/>
    </font>
    <font>
      <name val="Georgia"/>
      <color rgb="006B7280"/>
      <sz val="11"/>
    </font>
    <font>
      <name val="Georgia"/>
      <b val="1"/>
      <color rgb="00D97706"/>
      <sz val="10"/>
    </font>
    <font>
      <name val="Georgia"/>
      <b val="1"/>
      <color rgb="00FFFFFF"/>
      <sz val="11"/>
    </font>
    <font>
      <name val="Georgia"/>
      <b val="1"/>
      <color rgb="00F59E0B"/>
      <sz val="12"/>
    </font>
    <font>
      <name val="Georgia"/>
      <b val="1"/>
      <color rgb="00FFFFFF"/>
    </font>
    <font>
      <name val="Georgia"/>
      <b val="1"/>
      <color rgb="00D97706"/>
      <sz val="12"/>
    </font>
    <font>
      <name val="Georgia"/>
      <b val="1"/>
      <color rgb="00B91C1C"/>
      <sz val="12"/>
    </font>
    <font>
      <name val="Georgia"/>
      <b val="1"/>
      <sz val="11"/>
    </font>
    <font>
      <name val="Georgia"/>
      <b val="1"/>
      <color rgb="00EF4444"/>
      <sz val="11"/>
    </font>
    <font>
      <name val="Georgia"/>
      <b val="1"/>
      <color rgb="00F59E0B"/>
      <sz val="11"/>
    </font>
    <font>
      <name val="Georgia"/>
      <b val="1"/>
      <color rgb="00FB923C"/>
      <sz val="11"/>
    </font>
    <font>
      <name val="Georgia"/>
      <b val="1"/>
      <color rgb="00FCA5A5"/>
      <sz val="11"/>
    </font>
    <font>
      <name val="Georgia"/>
      <b val="1"/>
      <color rgb="00FDE68A"/>
      <sz val="11"/>
    </font>
    <font>
      <name val="Georgia"/>
      <b val="1"/>
      <color rgb="00B91C1C"/>
      <sz val="11"/>
    </font>
    <font>
      <name val="Georgia"/>
      <color rgb="00CCCCCC"/>
      <sz val="11"/>
    </font>
    <font>
      <name val="Georgia"/>
      <b val="1"/>
      <color rgb="00FBBF24"/>
      <sz val="11"/>
    </font>
    <font>
      <name val="Georgia"/>
      <b val="1"/>
      <color rgb="00F87171"/>
      <sz val="11"/>
    </font>
    <font>
      <name val="Georgia"/>
      <b val="1"/>
      <color rgb="00FEF3C7"/>
      <sz val="11"/>
    </font>
    <font>
      <name val="Georgia"/>
      <b val="1"/>
      <color rgb="00F59E0B"/>
      <sz val="14"/>
    </font>
    <font>
      <name val="Georgia"/>
      <b val="1"/>
      <color rgb="00E2E8F0"/>
      <sz val="11"/>
    </font>
    <font>
      <name val="Georgia"/>
      <b val="1"/>
      <color rgb="00D1D5DB"/>
      <sz val="11"/>
    </font>
  </fonts>
  <fills count="15">
    <fill>
      <patternFill/>
    </fill>
    <fill>
      <patternFill patternType="gray125"/>
    </fill>
    <fill>
      <patternFill patternType="solid">
        <fgColor rgb="001A0000"/>
      </patternFill>
    </fill>
    <fill>
      <patternFill patternType="solid">
        <fgColor rgb="007F1D1D"/>
      </patternFill>
    </fill>
    <fill>
      <patternFill patternType="solid">
        <fgColor rgb="00FFFFFF"/>
      </patternFill>
    </fill>
    <fill>
      <patternFill patternType="solid">
        <fgColor rgb="00FFF7ED"/>
      </patternFill>
    </fill>
    <fill>
      <patternFill patternType="solid">
        <fgColor rgb="00B91C1C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9FAFB"/>
      </patternFill>
    </fill>
    <fill>
      <patternFill patternType="solid">
        <fgColor rgb="0078350F"/>
      </patternFill>
    </fill>
    <fill>
      <patternFill patternType="solid">
        <fgColor rgb="00D97706"/>
      </patternFill>
    </fill>
    <fill>
      <patternFill patternType="solid">
        <fgColor rgb="00475569"/>
      </patternFill>
    </fill>
    <fill>
      <patternFill patternType="solid">
        <fgColor rgb="001C1C1C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FCA5A5"/>
      </left>
      <right style="thin">
        <color rgb="00FCA5A5"/>
      </right>
      <top style="thin">
        <color rgb="00FCA5A5"/>
      </top>
      <bottom style="thin">
        <color rgb="00FCA5A5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4" fontId="11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2" borderId="1" pivotButton="0" quotePrefix="0" xfId="0"/>
    <xf numFmtId="0" fontId="15" fillId="2" borderId="1" pivotButton="0" quotePrefix="0" xfId="0"/>
    <xf numFmtId="0" fontId="14" fillId="2" borderId="1" pivotButton="0" quotePrefix="0" xfId="0"/>
    <xf numFmtId="0" fontId="5" fillId="10" borderId="0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/>
    </xf>
    <xf numFmtId="0" fontId="19" fillId="4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center" vertical="center" wrapText="1"/>
    </xf>
    <xf numFmtId="0" fontId="25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center" vertical="center" wrapText="1"/>
    </xf>
    <xf numFmtId="0" fontId="28" fillId="5" borderId="1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 wrapText="1"/>
    </xf>
    <xf numFmtId="0" fontId="30" fillId="12" borderId="1" applyAlignment="1" pivotButton="0" quotePrefix="0" xfId="0">
      <alignment horizontal="center" vertical="center" wrapText="1"/>
    </xf>
    <xf numFmtId="0" fontId="31" fillId="14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58" customWidth="1" min="3" max="3"/>
  </cols>
  <sheetData>
    <row r="1" ht="38" customHeight="1">
      <c r="B1" s="1" t="inlineStr">
        <is>
          <t>⚽  PELADA DO FILHÃO — BASE DE DADOS</t>
        </is>
      </c>
    </row>
    <row r="2" ht="20" customHeight="1">
      <c r="B2" s="2" t="inlineStr">
        <is>
          <t>Atualize as abas semanalmente. O dashboard HTML lê os dados direto daqui.</t>
        </is>
      </c>
    </row>
    <row r="4" ht="20" customHeight="1">
      <c r="B4" s="3" t="inlineStr">
        <is>
          <t>ABA</t>
        </is>
      </c>
      <c r="C4" s="3" t="inlineStr">
        <is>
          <t>O QUE FAZER TODA SEMANA</t>
        </is>
      </c>
    </row>
    <row r="5" ht="20" customHeight="1">
      <c r="B5" s="4" t="inlineStr">
        <is>
          <t>🟥 Jogadores_Mes</t>
        </is>
      </c>
      <c r="C5" s="4" t="inlineStr">
        <is>
          <t>Atualize pts_mes, gols_mes, ass_mes e forma de cada jogador. Incremente total_peladas_mes.</t>
        </is>
      </c>
    </row>
    <row r="6" ht="20" customHeight="1">
      <c r="B6" s="5" t="inlineStr">
        <is>
          <t>🟨 Artilharia_Mes</t>
        </is>
      </c>
      <c r="C6" s="5" t="inlineStr">
        <is>
          <t>Atualize gols e presenças. Mantenha do maior para o menor.</t>
        </is>
      </c>
    </row>
    <row r="7" ht="20" customHeight="1">
      <c r="B7" s="4" t="inlineStr">
        <is>
          <t>🟧 Assistencias_Mes</t>
        </is>
      </c>
      <c r="C7" s="4" t="inlineStr">
        <is>
          <t>Atualize assistências e presenças. Mantenha do maior para o menor.</t>
        </is>
      </c>
    </row>
    <row r="8" ht="20" customHeight="1">
      <c r="B8" s="5" t="inlineStr">
        <is>
          <t>📅 Historico</t>
        </is>
      </c>
      <c r="C8" s="5" t="inlineStr">
        <is>
          <t>Ao virar o mês: copie os totais de Jogadores_Mes aqui antes de zerar.</t>
        </is>
      </c>
    </row>
    <row r="9" ht="20" customHeight="1">
      <c r="B9" s="4" t="inlineStr">
        <is>
          <t>⚙️ Config</t>
        </is>
      </c>
      <c r="C9" s="4" t="inlineStr">
        <is>
          <t>Atualize mês/ano e total de peladas ao virar o mês.</t>
        </is>
      </c>
    </row>
    <row r="10" ht="20" customHeight="1">
      <c r="B10" s="5" t="inlineStr"/>
      <c r="C10" s="5" t="inlineStr"/>
    </row>
    <row r="11" ht="20" customHeight="1">
      <c r="B11" s="3" t="inlineStr">
        <is>
          <t>CAMPO</t>
        </is>
      </c>
      <c r="C11" s="3" t="inlineStr">
        <is>
          <t>SIGNIFICADO</t>
        </is>
      </c>
    </row>
    <row r="12" ht="20" customHeight="1">
      <c r="B12" s="5" t="inlineStr">
        <is>
          <t>tipo = M</t>
        </is>
      </c>
      <c r="C12" s="5" t="inlineStr">
        <is>
          <t>Mensalista — jogador fixo</t>
        </is>
      </c>
    </row>
    <row r="13" ht="20" customHeight="1">
      <c r="B13" s="4" t="inlineStr">
        <is>
          <t>tipo = D</t>
        </is>
      </c>
      <c r="C13" s="4" t="inlineStr">
        <is>
          <t>Diarista — jogador avulso</t>
        </is>
      </c>
    </row>
    <row r="14" ht="20" customHeight="1">
      <c r="B14" s="5" t="inlineStr">
        <is>
          <t>forma</t>
        </is>
      </c>
      <c r="C14" s="5" t="inlineStr">
        <is>
          <t>Últimos 5 jogos: V=Vitória, E=Empate, D=Derrota (separados por vírgula)</t>
        </is>
      </c>
    </row>
    <row r="15" ht="20" customHeight="1">
      <c r="B15" s="4" t="inlineStr">
        <is>
          <t>pts_mes</t>
        </is>
      </c>
      <c r="C15" s="4" t="inlineStr">
        <is>
          <t>Pontuação total acumulada no mês corrente</t>
        </is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0" customWidth="1" min="3" max="3"/>
  </cols>
  <sheetData>
    <row r="1" ht="28" customHeight="1">
      <c r="B1" s="6" t="inlineStr">
        <is>
          <t>CONFIGURAÇÃO GERAL</t>
        </is>
      </c>
    </row>
    <row r="2" ht="20" customHeight="1">
      <c r="B2" s="7" t="inlineStr">
        <is>
          <t>nome_grupo</t>
        </is>
      </c>
      <c r="C2" s="8" t="inlineStr">
        <is>
          <t>Pelada do Filhão</t>
        </is>
      </c>
    </row>
    <row r="3" ht="20" customHeight="1">
      <c r="B3" s="9" t="inlineStr">
        <is>
          <t>desde</t>
        </is>
      </c>
      <c r="C3" s="10" t="inlineStr">
        <is>
          <t>2022</t>
        </is>
      </c>
    </row>
    <row r="4" ht="20" customHeight="1">
      <c r="B4" s="7" t="inlineStr">
        <is>
          <t>dia_semana</t>
        </is>
      </c>
      <c r="C4" s="8" t="inlineStr">
        <is>
          <t>Quinta-feira</t>
        </is>
      </c>
    </row>
    <row r="5" ht="20" customHeight="1">
      <c r="B5" s="9" t="inlineStr">
        <is>
          <t>mes_atual</t>
        </is>
      </c>
      <c r="C5" s="10" t="inlineStr">
        <is>
          <t>Maio</t>
        </is>
      </c>
    </row>
    <row r="6" ht="20" customHeight="1">
      <c r="B6" s="7" t="inlineStr">
        <is>
          <t>ano_atual</t>
        </is>
      </c>
      <c r="C6" s="8" t="inlineStr">
        <is>
          <t>2026</t>
        </is>
      </c>
    </row>
    <row r="7" ht="20" customHeight="1">
      <c r="B7" s="9" t="inlineStr">
        <is>
          <t>total_peladas_mes</t>
        </is>
      </c>
      <c r="C7" s="10" t="inlineStr">
        <is>
          <t>2</t>
        </is>
      </c>
    </row>
    <row r="8" ht="20" customHeight="1">
      <c r="B8" s="7" t="inlineStr">
        <is>
          <t>data_ultima_pelada</t>
        </is>
      </c>
      <c r="C8" s="8" t="inlineStr">
        <is>
          <t>2026-05-14</t>
        </is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8" customWidth="1" min="8" max="8"/>
    <col width="18" customWidth="1" min="9" max="9"/>
  </cols>
  <sheetData>
    <row r="1" ht="30" customHeight="1">
      <c r="A1" s="6" t="inlineStr">
        <is>
          <t>🟥 JOGADORES DO MÊS — atualizar a cada pelada</t>
        </is>
      </c>
    </row>
    <row r="2" ht="22" customHeight="1">
      <c r="A2" s="11" t="inlineStr">
        <is>
          <t>Nome</t>
        </is>
      </c>
      <c r="B2" s="11" t="inlineStr">
        <is>
          <t>Inic.</t>
        </is>
      </c>
      <c r="C2" s="11" t="inlineStr">
        <is>
          <t>Tipo</t>
        </is>
      </c>
      <c r="D2" s="11" t="inlineStr">
        <is>
          <t>Pts Mês</t>
        </is>
      </c>
      <c r="E2" s="11" t="inlineStr">
        <is>
          <t>Gols</t>
        </is>
      </c>
      <c r="F2" s="11" t="inlineStr">
        <is>
          <t>Assist.</t>
        </is>
      </c>
      <c r="G2" s="11" t="inlineStr">
        <is>
          <t>Forma (V/E/D)</t>
        </is>
      </c>
      <c r="H2" s="11" t="inlineStr">
        <is>
          <t>Rank</t>
        </is>
      </c>
      <c r="I2" s="11" t="inlineStr">
        <is>
          <t>% Particip.</t>
        </is>
      </c>
    </row>
    <row r="3" ht="20" customHeight="1">
      <c r="A3" s="10" t="inlineStr">
        <is>
          <t>Junior</t>
        </is>
      </c>
      <c r="B3" s="12" t="inlineStr">
        <is>
          <t>JR</t>
        </is>
      </c>
      <c r="C3" s="13" t="inlineStr">
        <is>
          <t>M</t>
        </is>
      </c>
      <c r="D3" s="12" t="n">
        <v>19</v>
      </c>
      <c r="E3" s="12" t="n">
        <v>1</v>
      </c>
      <c r="F3" s="12" t="n">
        <v>1</v>
      </c>
      <c r="G3" s="12" t="inlineStr">
        <is>
          <t>V,V,V,E,V</t>
        </is>
      </c>
      <c r="H3" s="14">
        <f>RANK(D3,D$3:D$25,0)</f>
        <v/>
      </c>
      <c r="I3" s="15">
        <f>IFERROR(D3/SUM(D$3:D$25),0)</f>
        <v/>
      </c>
    </row>
    <row r="4" ht="20" customHeight="1">
      <c r="A4" s="8" t="inlineStr">
        <is>
          <t>João G.</t>
        </is>
      </c>
      <c r="B4" s="16" t="inlineStr">
        <is>
          <t>JG</t>
        </is>
      </c>
      <c r="C4" s="17" t="inlineStr">
        <is>
          <t>D</t>
        </is>
      </c>
      <c r="D4" s="16" t="n">
        <v>14</v>
      </c>
      <c r="E4" s="16" t="n">
        <v>9</v>
      </c>
      <c r="F4" s="16" t="n">
        <v>0</v>
      </c>
      <c r="G4" s="16" t="inlineStr">
        <is>
          <t>V,V,D,V,V</t>
        </is>
      </c>
      <c r="H4" s="14">
        <f>RANK(D4,D$3:D$25,0)</f>
        <v/>
      </c>
      <c r="I4" s="15">
        <f>IFERROR(D4/SUM(D$3:D$25),0)</f>
        <v/>
      </c>
    </row>
    <row r="5" ht="20" customHeight="1">
      <c r="A5" s="10" t="inlineStr">
        <is>
          <t>Dudex</t>
        </is>
      </c>
      <c r="B5" s="12" t="inlineStr">
        <is>
          <t>DX</t>
        </is>
      </c>
      <c r="C5" s="13" t="inlineStr">
        <is>
          <t>M</t>
        </is>
      </c>
      <c r="D5" s="12" t="n">
        <v>13</v>
      </c>
      <c r="E5" s="12" t="n">
        <v>2</v>
      </c>
      <c r="F5" s="12" t="n">
        <v>2</v>
      </c>
      <c r="G5" s="12" t="inlineStr">
        <is>
          <t>V,E,V,V,D</t>
        </is>
      </c>
      <c r="H5" s="14">
        <f>RANK(D5,D$3:D$25,0)</f>
        <v/>
      </c>
      <c r="I5" s="15">
        <f>IFERROR(D5/SUM(D$3:D$25),0)</f>
        <v/>
      </c>
    </row>
    <row r="6" ht="20" customHeight="1">
      <c r="A6" s="8" t="inlineStr">
        <is>
          <t>Eduardo Serpa</t>
        </is>
      </c>
      <c r="B6" s="16" t="inlineStr">
        <is>
          <t>ES</t>
        </is>
      </c>
      <c r="C6" s="13" t="inlineStr">
        <is>
          <t>M</t>
        </is>
      </c>
      <c r="D6" s="16" t="n">
        <v>13</v>
      </c>
      <c r="E6" s="16" t="n">
        <v>0</v>
      </c>
      <c r="F6" s="16" t="n">
        <v>0</v>
      </c>
      <c r="G6" s="16" t="inlineStr">
        <is>
          <t>V,V,E,D,V</t>
        </is>
      </c>
      <c r="H6" s="14">
        <f>RANK(D6,D$3:D$25,0)</f>
        <v/>
      </c>
      <c r="I6" s="15">
        <f>IFERROR(D6/SUM(D$3:D$25),0)</f>
        <v/>
      </c>
    </row>
    <row r="7" ht="20" customHeight="1">
      <c r="A7" s="10" t="inlineStr">
        <is>
          <t>Jean</t>
        </is>
      </c>
      <c r="B7" s="12" t="inlineStr">
        <is>
          <t>JN</t>
        </is>
      </c>
      <c r="C7" s="13" t="inlineStr">
        <is>
          <t>M</t>
        </is>
      </c>
      <c r="D7" s="12" t="n">
        <v>13</v>
      </c>
      <c r="E7" s="12" t="n">
        <v>2</v>
      </c>
      <c r="F7" s="12" t="n">
        <v>0</v>
      </c>
      <c r="G7" s="12" t="inlineStr">
        <is>
          <t>V,V,V,E,D</t>
        </is>
      </c>
      <c r="H7" s="14">
        <f>RANK(D7,D$3:D$25,0)</f>
        <v/>
      </c>
      <c r="I7" s="15">
        <f>IFERROR(D7/SUM(D$3:D$25),0)</f>
        <v/>
      </c>
    </row>
    <row r="8" ht="20" customHeight="1">
      <c r="A8" s="8" t="inlineStr">
        <is>
          <t>Carrilho</t>
        </is>
      </c>
      <c r="B8" s="16" t="inlineStr">
        <is>
          <t>CR</t>
        </is>
      </c>
      <c r="C8" s="17" t="inlineStr">
        <is>
          <t>D</t>
        </is>
      </c>
      <c r="D8" s="16" t="n">
        <v>13</v>
      </c>
      <c r="E8" s="16" t="n">
        <v>3</v>
      </c>
      <c r="F8" s="16" t="n">
        <v>1</v>
      </c>
      <c r="G8" s="16" t="inlineStr">
        <is>
          <t>V,D,V,V,E</t>
        </is>
      </c>
      <c r="H8" s="14">
        <f>RANK(D8,D$3:D$25,0)</f>
        <v/>
      </c>
      <c r="I8" s="15">
        <f>IFERROR(D8/SUM(D$3:D$25),0)</f>
        <v/>
      </c>
    </row>
    <row r="9" ht="20" customHeight="1">
      <c r="A9" s="10" t="inlineStr">
        <is>
          <t>Rodrigo Azevedo</t>
        </is>
      </c>
      <c r="B9" s="12" t="inlineStr">
        <is>
          <t>RA</t>
        </is>
      </c>
      <c r="C9" s="13" t="inlineStr">
        <is>
          <t>M</t>
        </is>
      </c>
      <c r="D9" s="12" t="n">
        <v>12</v>
      </c>
      <c r="E9" s="12" t="n">
        <v>3</v>
      </c>
      <c r="F9" s="12" t="n">
        <v>0</v>
      </c>
      <c r="G9" s="12" t="inlineStr">
        <is>
          <t>V,V,D,E,V</t>
        </is>
      </c>
      <c r="H9" s="14">
        <f>RANK(D9,D$3:D$25,0)</f>
        <v/>
      </c>
      <c r="I9" s="15">
        <f>IFERROR(D9/SUM(D$3:D$25),0)</f>
        <v/>
      </c>
    </row>
    <row r="10" ht="20" customHeight="1">
      <c r="A10" s="8" t="inlineStr">
        <is>
          <t>Jota</t>
        </is>
      </c>
      <c r="B10" s="16" t="inlineStr">
        <is>
          <t>JT</t>
        </is>
      </c>
      <c r="C10" s="13" t="inlineStr">
        <is>
          <t>M</t>
        </is>
      </c>
      <c r="D10" s="16" t="n">
        <v>12</v>
      </c>
      <c r="E10" s="16" t="n">
        <v>0</v>
      </c>
      <c r="F10" s="16" t="n">
        <v>1</v>
      </c>
      <c r="G10" s="16" t="inlineStr">
        <is>
          <t>E,V,V,D,V</t>
        </is>
      </c>
      <c r="H10" s="14">
        <f>RANK(D10,D$3:D$25,0)</f>
        <v/>
      </c>
      <c r="I10" s="15">
        <f>IFERROR(D10/SUM(D$3:D$25),0)</f>
        <v/>
      </c>
    </row>
    <row r="11" ht="20" customHeight="1">
      <c r="A11" s="10" t="inlineStr">
        <is>
          <t>Vini Paulista</t>
        </is>
      </c>
      <c r="B11" s="12" t="inlineStr">
        <is>
          <t>VP</t>
        </is>
      </c>
      <c r="C11" s="13" t="inlineStr">
        <is>
          <t>M</t>
        </is>
      </c>
      <c r="D11" s="12" t="n">
        <v>11</v>
      </c>
      <c r="E11" s="12" t="n">
        <v>1</v>
      </c>
      <c r="F11" s="12" t="n">
        <v>0</v>
      </c>
      <c r="G11" s="12" t="inlineStr">
        <is>
          <t>V,D,E,V,V</t>
        </is>
      </c>
      <c r="H11" s="14">
        <f>RANK(D11,D$3:D$25,0)</f>
        <v/>
      </c>
      <c r="I11" s="15">
        <f>IFERROR(D11/SUM(D$3:D$25),0)</f>
        <v/>
      </c>
    </row>
    <row r="12" ht="20" customHeight="1">
      <c r="A12" s="8" t="inlineStr">
        <is>
          <t>Marlos</t>
        </is>
      </c>
      <c r="B12" s="16" t="inlineStr">
        <is>
          <t>ML</t>
        </is>
      </c>
      <c r="C12" s="17" t="inlineStr">
        <is>
          <t>D</t>
        </is>
      </c>
      <c r="D12" s="16" t="n">
        <v>9</v>
      </c>
      <c r="E12" s="16" t="n">
        <v>2</v>
      </c>
      <c r="F12" s="16" t="n">
        <v>0</v>
      </c>
      <c r="G12" s="16" t="inlineStr">
        <is>
          <t>V,V,D,D,E</t>
        </is>
      </c>
      <c r="H12" s="14">
        <f>RANK(D12,D$3:D$25,0)</f>
        <v/>
      </c>
      <c r="I12" s="15">
        <f>IFERROR(D12/SUM(D$3:D$25),0)</f>
        <v/>
      </c>
    </row>
    <row r="13" ht="20" customHeight="1">
      <c r="A13" s="10" t="inlineStr">
        <is>
          <t>Diego</t>
        </is>
      </c>
      <c r="B13" s="12" t="inlineStr">
        <is>
          <t>DG</t>
        </is>
      </c>
      <c r="C13" s="13" t="inlineStr">
        <is>
          <t>M</t>
        </is>
      </c>
      <c r="D13" s="12" t="n">
        <v>9</v>
      </c>
      <c r="E13" s="12" t="n">
        <v>4</v>
      </c>
      <c r="F13" s="12" t="n">
        <v>1</v>
      </c>
      <c r="G13" s="12" t="inlineStr">
        <is>
          <t>E,V,D,V,V</t>
        </is>
      </c>
      <c r="H13" s="14">
        <f>RANK(D13,D$3:D$25,0)</f>
        <v/>
      </c>
      <c r="I13" s="15">
        <f>IFERROR(D13/SUM(D$3:D$25),0)</f>
        <v/>
      </c>
    </row>
    <row r="14" ht="20" customHeight="1">
      <c r="A14" s="8" t="inlineStr">
        <is>
          <t>Fran</t>
        </is>
      </c>
      <c r="B14" s="16" t="inlineStr">
        <is>
          <t>FR</t>
        </is>
      </c>
      <c r="C14" s="17" t="inlineStr">
        <is>
          <t>D</t>
        </is>
      </c>
      <c r="D14" s="16" t="n">
        <v>9</v>
      </c>
      <c r="E14" s="16" t="n">
        <v>0</v>
      </c>
      <c r="F14" s="16" t="n">
        <v>0</v>
      </c>
      <c r="G14" s="16" t="inlineStr">
        <is>
          <t>V,E,V,D,V</t>
        </is>
      </c>
      <c r="H14" s="14">
        <f>RANK(D14,D$3:D$25,0)</f>
        <v/>
      </c>
      <c r="I14" s="15">
        <f>IFERROR(D14/SUM(D$3:D$25),0)</f>
        <v/>
      </c>
    </row>
    <row r="15" ht="20" customHeight="1">
      <c r="A15" s="10" t="inlineStr">
        <is>
          <t>Rivaldo</t>
        </is>
      </c>
      <c r="B15" s="12" t="inlineStr">
        <is>
          <t>RV</t>
        </is>
      </c>
      <c r="C15" s="13" t="inlineStr">
        <is>
          <t>M</t>
        </is>
      </c>
      <c r="D15" s="12" t="n">
        <v>8</v>
      </c>
      <c r="E15" s="12" t="n">
        <v>0</v>
      </c>
      <c r="F15" s="12" t="n">
        <v>0</v>
      </c>
      <c r="G15" s="12" t="inlineStr">
        <is>
          <t>D,V,E,V,V</t>
        </is>
      </c>
      <c r="H15" s="14">
        <f>RANK(D15,D$3:D$25,0)</f>
        <v/>
      </c>
      <c r="I15" s="15">
        <f>IFERROR(D15/SUM(D$3:D$25),0)</f>
        <v/>
      </c>
    </row>
    <row r="16" ht="20" customHeight="1">
      <c r="A16" s="8" t="inlineStr">
        <is>
          <t>Leo Campos</t>
        </is>
      </c>
      <c r="B16" s="16" t="inlineStr">
        <is>
          <t>LC</t>
        </is>
      </c>
      <c r="C16" s="13" t="inlineStr">
        <is>
          <t>M</t>
        </is>
      </c>
      <c r="D16" s="16" t="n">
        <v>6</v>
      </c>
      <c r="E16" s="16" t="n">
        <v>2</v>
      </c>
      <c r="F16" s="16" t="n">
        <v>1</v>
      </c>
      <c r="G16" s="16" t="inlineStr">
        <is>
          <t>V,V,D,E,D</t>
        </is>
      </c>
      <c r="H16" s="14">
        <f>RANK(D16,D$3:D$25,0)</f>
        <v/>
      </c>
      <c r="I16" s="15">
        <f>IFERROR(D16/SUM(D$3:D$25),0)</f>
        <v/>
      </c>
    </row>
    <row r="17" ht="20" customHeight="1">
      <c r="A17" s="10" t="inlineStr">
        <is>
          <t>Bernardo</t>
        </is>
      </c>
      <c r="B17" s="12" t="inlineStr">
        <is>
          <t>BN</t>
        </is>
      </c>
      <c r="C17" s="17" t="inlineStr">
        <is>
          <t>D</t>
        </is>
      </c>
      <c r="D17" s="12" t="n">
        <v>5</v>
      </c>
      <c r="E17" s="12" t="n">
        <v>1</v>
      </c>
      <c r="F17" s="12" t="n">
        <v>0</v>
      </c>
      <c r="G17" s="12" t="inlineStr">
        <is>
          <t>E,D,V,V,D</t>
        </is>
      </c>
      <c r="H17" s="14">
        <f>RANK(D17,D$3:D$25,0)</f>
        <v/>
      </c>
      <c r="I17" s="15">
        <f>IFERROR(D17/SUM(D$3:D$25),0)</f>
        <v/>
      </c>
    </row>
    <row r="18" ht="20" customHeight="1">
      <c r="A18" s="8" t="inlineStr">
        <is>
          <t>Cardassi</t>
        </is>
      </c>
      <c r="B18" s="16" t="inlineStr">
        <is>
          <t>CD</t>
        </is>
      </c>
      <c r="C18" s="13" t="inlineStr">
        <is>
          <t>M</t>
        </is>
      </c>
      <c r="D18" s="16" t="n">
        <v>4</v>
      </c>
      <c r="E18" s="16" t="n">
        <v>0</v>
      </c>
      <c r="F18" s="16" t="n">
        <v>0</v>
      </c>
      <c r="G18" s="16" t="inlineStr">
        <is>
          <t>D,E,V,D,V</t>
        </is>
      </c>
      <c r="H18" s="14">
        <f>RANK(D18,D$3:D$25,0)</f>
        <v/>
      </c>
      <c r="I18" s="15">
        <f>IFERROR(D18/SUM(D$3:D$25),0)</f>
        <v/>
      </c>
    </row>
    <row r="19" ht="20" customHeight="1">
      <c r="A19" s="10" t="inlineStr">
        <is>
          <t>Matheus Duarte</t>
        </is>
      </c>
      <c r="B19" s="12" t="inlineStr">
        <is>
          <t>MD</t>
        </is>
      </c>
      <c r="C19" s="17" t="inlineStr">
        <is>
          <t>D</t>
        </is>
      </c>
      <c r="D19" s="12" t="n">
        <v>3</v>
      </c>
      <c r="E19" s="12" t="n">
        <v>1</v>
      </c>
      <c r="F19" s="12" t="n">
        <v>0</v>
      </c>
      <c r="G19" s="12" t="inlineStr">
        <is>
          <t>V,D,D,E,V</t>
        </is>
      </c>
      <c r="H19" s="14">
        <f>RANK(D19,D$3:D$25,0)</f>
        <v/>
      </c>
      <c r="I19" s="15">
        <f>IFERROR(D19/SUM(D$3:D$25),0)</f>
        <v/>
      </c>
    </row>
    <row r="20" ht="20" customHeight="1">
      <c r="A20" s="8" t="inlineStr">
        <is>
          <t>Rodriguinho</t>
        </is>
      </c>
      <c r="B20" s="16" t="inlineStr">
        <is>
          <t>RD</t>
        </is>
      </c>
      <c r="C20" s="13" t="inlineStr">
        <is>
          <t>M</t>
        </is>
      </c>
      <c r="D20" s="16" t="n">
        <v>3</v>
      </c>
      <c r="E20" s="16" t="n">
        <v>0</v>
      </c>
      <c r="F20" s="16" t="n">
        <v>1</v>
      </c>
      <c r="G20" s="16" t="inlineStr">
        <is>
          <t>D,V,E,D,V</t>
        </is>
      </c>
      <c r="H20" s="14">
        <f>RANK(D20,D$3:D$25,0)</f>
        <v/>
      </c>
      <c r="I20" s="15">
        <f>IFERROR(D20/SUM(D$3:D$25),0)</f>
        <v/>
      </c>
    </row>
    <row r="21" ht="20" customHeight="1">
      <c r="A21" s="10" t="inlineStr">
        <is>
          <t>Coutinho</t>
        </is>
      </c>
      <c r="B21" s="12" t="inlineStr">
        <is>
          <t>CT</t>
        </is>
      </c>
      <c r="C21" s="17" t="inlineStr">
        <is>
          <t>D</t>
        </is>
      </c>
      <c r="D21" s="12" t="n">
        <v>2</v>
      </c>
      <c r="E21" s="12" t="n">
        <v>0</v>
      </c>
      <c r="F21" s="12" t="n">
        <v>0</v>
      </c>
      <c r="G21" s="12" t="inlineStr">
        <is>
          <t>E,D,V,D,E</t>
        </is>
      </c>
      <c r="H21" s="14">
        <f>RANK(D21,D$3:D$25,0)</f>
        <v/>
      </c>
      <c r="I21" s="15">
        <f>IFERROR(D21/SUM(D$3:D$25),0)</f>
        <v/>
      </c>
    </row>
    <row r="22" ht="20" customHeight="1">
      <c r="A22" s="8" t="inlineStr">
        <is>
          <t>Falero</t>
        </is>
      </c>
      <c r="B22" s="16" t="inlineStr">
        <is>
          <t>FL</t>
        </is>
      </c>
      <c r="C22" s="17" t="inlineStr">
        <is>
          <t>D</t>
        </is>
      </c>
      <c r="D22" s="16" t="n">
        <v>2</v>
      </c>
      <c r="E22" s="16" t="n">
        <v>0</v>
      </c>
      <c r="F22" s="16" t="n">
        <v>1</v>
      </c>
      <c r="G22" s="16" t="inlineStr">
        <is>
          <t>D,E,D,V,D</t>
        </is>
      </c>
      <c r="H22" s="14">
        <f>RANK(D22,D$3:D$25,0)</f>
        <v/>
      </c>
      <c r="I22" s="15">
        <f>IFERROR(D22/SUM(D$3:D$25),0)</f>
        <v/>
      </c>
    </row>
    <row r="23" ht="20" customHeight="1">
      <c r="A23" s="10" t="inlineStr">
        <is>
          <t>Pavanelli</t>
        </is>
      </c>
      <c r="B23" s="12" t="inlineStr">
        <is>
          <t>PV</t>
        </is>
      </c>
      <c r="C23" s="17" t="inlineStr">
        <is>
          <t>D</t>
        </is>
      </c>
      <c r="D23" s="12" t="n">
        <v>1</v>
      </c>
      <c r="E23" s="12" t="n">
        <v>0</v>
      </c>
      <c r="F23" s="12" t="n">
        <v>0</v>
      </c>
      <c r="G23" s="12" t="inlineStr">
        <is>
          <t>D,D,E,D,V</t>
        </is>
      </c>
      <c r="H23" s="14">
        <f>RANK(D23,D$3:D$25,0)</f>
        <v/>
      </c>
      <c r="I23" s="15">
        <f>IFERROR(D23/SUM(D$3:D$25),0)</f>
        <v/>
      </c>
    </row>
    <row r="24" ht="20" customHeight="1">
      <c r="A24" s="8" t="inlineStr">
        <is>
          <t>Matheus Martins</t>
        </is>
      </c>
      <c r="B24" s="16" t="inlineStr">
        <is>
          <t>MM</t>
        </is>
      </c>
      <c r="C24" s="13" t="inlineStr">
        <is>
          <t>M</t>
        </is>
      </c>
      <c r="D24" s="16" t="n">
        <v>1</v>
      </c>
      <c r="E24" s="16" t="n">
        <v>0</v>
      </c>
      <c r="F24" s="16" t="n">
        <v>0</v>
      </c>
      <c r="G24" s="16" t="inlineStr">
        <is>
          <t>D,D,D,E,D</t>
        </is>
      </c>
      <c r="H24" s="14">
        <f>RANK(D24,D$3:D$25,0)</f>
        <v/>
      </c>
      <c r="I24" s="15">
        <f>IFERROR(D24/SUM(D$3:D$25),0)</f>
        <v/>
      </c>
    </row>
    <row r="25" ht="20" customHeight="1">
      <c r="A25" s="10" t="inlineStr">
        <is>
          <t>Victor Pena</t>
        </is>
      </c>
      <c r="B25" s="12" t="inlineStr">
        <is>
          <t>VC</t>
        </is>
      </c>
      <c r="C25" s="13" t="inlineStr">
        <is>
          <t>M</t>
        </is>
      </c>
      <c r="D25" s="12" t="n">
        <v>0</v>
      </c>
      <c r="E25" s="12" t="n">
        <v>0</v>
      </c>
      <c r="F25" s="12" t="n">
        <v>0</v>
      </c>
      <c r="G25" s="12" t="inlineStr">
        <is>
          <t>D,D,D,D,D</t>
        </is>
      </c>
      <c r="H25" s="14">
        <f>RANK(D25,D$3:D$25,0)</f>
        <v/>
      </c>
      <c r="I25" s="15">
        <f>IFERROR(D25/SUM(D$3:D$25),0)</f>
        <v/>
      </c>
    </row>
    <row r="26" ht="24" customHeight="1">
      <c r="A26" s="18" t="inlineStr">
        <is>
          <t>TOTAL</t>
        </is>
      </c>
      <c r="B26" s="19" t="n"/>
      <c r="C26" s="19" t="n"/>
      <c r="D26" s="20">
        <f>SUM(D3:D25)</f>
        <v/>
      </c>
      <c r="E26" s="20">
        <f>SUM(E3:E25)</f>
        <v/>
      </c>
      <c r="F26" s="20">
        <f>SUM(F3:F25)</f>
        <v/>
      </c>
      <c r="G26" s="19" t="n"/>
      <c r="H26" s="19" t="n"/>
      <c r="I26" s="19" t="n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4" customWidth="1" min="4" max="4"/>
  </cols>
  <sheetData>
    <row r="1" ht="30" customHeight="1">
      <c r="A1" s="21" t="inlineStr">
        <is>
          <t>🟨 ARTILHARIA DO MÊS — atualizar a cada pelada</t>
        </is>
      </c>
    </row>
    <row r="2" ht="22" customHeight="1">
      <c r="A2" s="22" t="inlineStr">
        <is>
          <t>Posição</t>
        </is>
      </c>
      <c r="B2" s="22" t="inlineStr">
        <is>
          <t>Nome</t>
        </is>
      </c>
      <c r="C2" s="22" t="inlineStr">
        <is>
          <t>Gols</t>
        </is>
      </c>
      <c r="D2" s="22" t="inlineStr">
        <is>
          <t>Presenças</t>
        </is>
      </c>
    </row>
    <row r="3" ht="20" customHeight="1">
      <c r="A3" s="12" t="inlineStr">
        <is>
          <t>1°</t>
        </is>
      </c>
      <c r="B3" s="10" t="inlineStr">
        <is>
          <t>Diego</t>
        </is>
      </c>
      <c r="C3" s="23" t="n">
        <v>4</v>
      </c>
      <c r="D3" s="12" t="n">
        <v>2</v>
      </c>
    </row>
    <row r="4" ht="20" customHeight="1">
      <c r="A4" s="24" t="inlineStr">
        <is>
          <t>2°</t>
        </is>
      </c>
      <c r="B4" s="25" t="inlineStr">
        <is>
          <t>Rodrigo Azevedo</t>
        </is>
      </c>
      <c r="C4" s="26" t="n">
        <v>3</v>
      </c>
      <c r="D4" s="24" t="n">
        <v>1</v>
      </c>
    </row>
    <row r="5" ht="20" customHeight="1">
      <c r="A5" s="12" t="inlineStr">
        <is>
          <t>3°</t>
        </is>
      </c>
      <c r="B5" s="10" t="inlineStr">
        <is>
          <t>Carrilho</t>
        </is>
      </c>
      <c r="C5" s="23" t="n">
        <v>3</v>
      </c>
      <c r="D5" s="12" t="n">
        <v>1</v>
      </c>
    </row>
    <row r="6" ht="20" customHeight="1">
      <c r="A6" s="24" t="inlineStr">
        <is>
          <t>4°</t>
        </is>
      </c>
      <c r="B6" s="25" t="inlineStr">
        <is>
          <t>Marlos</t>
        </is>
      </c>
      <c r="C6" s="26" t="n">
        <v>2</v>
      </c>
      <c r="D6" s="24" t="n">
        <v>1</v>
      </c>
    </row>
    <row r="7" ht="20" customHeight="1">
      <c r="A7" s="12" t="inlineStr">
        <is>
          <t>5°</t>
        </is>
      </c>
      <c r="B7" s="10" t="inlineStr">
        <is>
          <t>Leo Campos</t>
        </is>
      </c>
      <c r="C7" s="23" t="n">
        <v>2</v>
      </c>
      <c r="D7" s="12" t="n">
        <v>2</v>
      </c>
    </row>
    <row r="8" ht="20" customHeight="1">
      <c r="A8" s="24" t="inlineStr">
        <is>
          <t>6°</t>
        </is>
      </c>
      <c r="B8" s="25" t="inlineStr">
        <is>
          <t>Jean</t>
        </is>
      </c>
      <c r="C8" s="26" t="n">
        <v>2</v>
      </c>
      <c r="D8" s="24" t="n">
        <v>2</v>
      </c>
    </row>
    <row r="9" ht="20" customHeight="1">
      <c r="A9" s="12" t="inlineStr">
        <is>
          <t>7°</t>
        </is>
      </c>
      <c r="B9" s="10" t="inlineStr">
        <is>
          <t>Dudex</t>
        </is>
      </c>
      <c r="C9" s="23" t="n">
        <v>2</v>
      </c>
      <c r="D9" s="12" t="n">
        <v>2</v>
      </c>
    </row>
    <row r="10" ht="20" customHeight="1">
      <c r="A10" s="24" t="inlineStr">
        <is>
          <t>8°</t>
        </is>
      </c>
      <c r="B10" s="25" t="inlineStr">
        <is>
          <t>Vini Paulista</t>
        </is>
      </c>
      <c r="C10" s="26" t="n">
        <v>1</v>
      </c>
      <c r="D10" s="24" t="n">
        <v>2</v>
      </c>
    </row>
    <row r="11" ht="20" customHeight="1">
      <c r="A11" s="12" t="inlineStr">
        <is>
          <t>9°</t>
        </is>
      </c>
      <c r="B11" s="10" t="inlineStr">
        <is>
          <t>Matheus Duarte</t>
        </is>
      </c>
      <c r="C11" s="23" t="n">
        <v>1</v>
      </c>
      <c r="D11" s="12" t="n">
        <v>2</v>
      </c>
    </row>
    <row r="12" ht="20" customHeight="1">
      <c r="A12" s="24" t="inlineStr">
        <is>
          <t>10°</t>
        </is>
      </c>
      <c r="B12" s="25" t="inlineStr">
        <is>
          <t>Bernardo</t>
        </is>
      </c>
      <c r="C12" s="26" t="n">
        <v>1</v>
      </c>
      <c r="D12" s="24" t="n">
        <v>2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4" customWidth="1" min="4" max="4"/>
  </cols>
  <sheetData>
    <row r="1" ht="30" customHeight="1">
      <c r="A1" s="27" t="inlineStr">
        <is>
          <t>🟧 ASSISTÊNCIAS DO MÊS — atualizar a cada pelada</t>
        </is>
      </c>
    </row>
    <row r="2" ht="22" customHeight="1">
      <c r="A2" s="11" t="inlineStr">
        <is>
          <t>Posição</t>
        </is>
      </c>
      <c r="B2" s="11" t="inlineStr">
        <is>
          <t>Nome</t>
        </is>
      </c>
      <c r="C2" s="11" t="inlineStr">
        <is>
          <t>Assist.</t>
        </is>
      </c>
      <c r="D2" s="11" t="inlineStr">
        <is>
          <t>Presenças</t>
        </is>
      </c>
    </row>
    <row r="3" ht="20" customHeight="1">
      <c r="A3" s="12" t="inlineStr">
        <is>
          <t>1°</t>
        </is>
      </c>
      <c r="B3" s="10" t="inlineStr">
        <is>
          <t>Dudex</t>
        </is>
      </c>
      <c r="C3" s="28" t="n">
        <v>2</v>
      </c>
      <c r="D3" s="12" t="n">
        <v>2</v>
      </c>
    </row>
    <row r="4" ht="20" customHeight="1">
      <c r="A4" s="29" t="inlineStr">
        <is>
          <t>2°</t>
        </is>
      </c>
      <c r="B4" s="30" t="inlineStr">
        <is>
          <t>Rodriguinho</t>
        </is>
      </c>
      <c r="C4" s="31" t="n">
        <v>1</v>
      </c>
      <c r="D4" s="29" t="n">
        <v>1</v>
      </c>
    </row>
    <row r="5" ht="20" customHeight="1">
      <c r="A5" s="12" t="inlineStr">
        <is>
          <t>3°</t>
        </is>
      </c>
      <c r="B5" s="10" t="inlineStr">
        <is>
          <t>Carrilho</t>
        </is>
      </c>
      <c r="C5" s="28" t="n">
        <v>1</v>
      </c>
      <c r="D5" s="12" t="n">
        <v>1</v>
      </c>
    </row>
    <row r="6" ht="20" customHeight="1">
      <c r="A6" s="29" t="inlineStr">
        <is>
          <t>4°</t>
        </is>
      </c>
      <c r="B6" s="30" t="inlineStr">
        <is>
          <t>Falero</t>
        </is>
      </c>
      <c r="C6" s="31" t="n">
        <v>1</v>
      </c>
      <c r="D6" s="29" t="n">
        <v>1</v>
      </c>
    </row>
    <row r="7" ht="20" customHeight="1">
      <c r="A7" s="12" t="inlineStr">
        <is>
          <t>5°</t>
        </is>
      </c>
      <c r="B7" s="10" t="inlineStr">
        <is>
          <t>Diego</t>
        </is>
      </c>
      <c r="C7" s="28" t="n">
        <v>1</v>
      </c>
      <c r="D7" s="12" t="n">
        <v>1</v>
      </c>
    </row>
    <row r="8" ht="20" customHeight="1">
      <c r="A8" s="29" t="inlineStr">
        <is>
          <t>6°</t>
        </is>
      </c>
      <c r="B8" s="30" t="inlineStr">
        <is>
          <t>Leo Campos</t>
        </is>
      </c>
      <c r="C8" s="31" t="n">
        <v>1</v>
      </c>
      <c r="D8" s="29" t="n">
        <v>2</v>
      </c>
    </row>
    <row r="9" ht="20" customHeight="1">
      <c r="A9" s="12" t="inlineStr">
        <is>
          <t>7°</t>
        </is>
      </c>
      <c r="B9" s="10" t="inlineStr">
        <is>
          <t>Junior</t>
        </is>
      </c>
      <c r="C9" s="28" t="n">
        <v>1</v>
      </c>
      <c r="D9" s="12" t="n">
        <v>2</v>
      </c>
    </row>
    <row r="10" ht="20" customHeight="1">
      <c r="A10" s="29" t="inlineStr">
        <is>
          <t>8°</t>
        </is>
      </c>
      <c r="B10" s="30" t="inlineStr">
        <is>
          <t>Jota</t>
        </is>
      </c>
      <c r="C10" s="31" t="n">
        <v>1</v>
      </c>
      <c r="D10" s="29" t="n">
        <v>2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6" t="inlineStr">
        <is>
          <t>📅 HISTÓRICO — copie os dados ao virar o mês</t>
        </is>
      </c>
    </row>
    <row r="2" ht="22" customHeight="1">
      <c r="A2" s="32" t="inlineStr">
        <is>
          <t>Jogador</t>
        </is>
      </c>
      <c r="B2" s="33" t="inlineStr">
        <is>
          <t>Nov/22</t>
        </is>
      </c>
      <c r="C2" s="33" t="inlineStr">
        <is>
          <t>Jan/23</t>
        </is>
      </c>
      <c r="D2" s="33" t="inlineStr">
        <is>
          <t>Abr/26</t>
        </is>
      </c>
      <c r="E2" s="33" t="inlineStr">
        <is>
          <t>Mai/26</t>
        </is>
      </c>
    </row>
    <row r="3" ht="20" customHeight="1">
      <c r="A3" s="34" t="inlineStr">
        <is>
          <t>Junior</t>
        </is>
      </c>
      <c r="B3" s="35" t="n">
        <v>29</v>
      </c>
      <c r="C3" s="35" t="n">
        <v>42</v>
      </c>
      <c r="D3" s="35" t="n">
        <v>1</v>
      </c>
      <c r="E3" s="35" t="n">
        <v>19</v>
      </c>
    </row>
    <row r="4" ht="20" customHeight="1">
      <c r="A4" s="36" t="inlineStr">
        <is>
          <t>Cardassi</t>
        </is>
      </c>
      <c r="B4" s="37" t="n">
        <v>24</v>
      </c>
      <c r="C4" s="37" t="n">
        <v>61</v>
      </c>
      <c r="D4" s="37" t="n">
        <v>33</v>
      </c>
      <c r="E4" s="37" t="n">
        <v>4</v>
      </c>
    </row>
    <row r="5" ht="20" customHeight="1">
      <c r="A5" s="34" t="inlineStr">
        <is>
          <t>Jean</t>
        </is>
      </c>
      <c r="B5" s="38" t="n">
        <v>54</v>
      </c>
      <c r="C5" s="38" t="n">
        <v>46</v>
      </c>
      <c r="D5" s="38" t="n">
        <v>10</v>
      </c>
      <c r="E5" s="38" t="n">
        <v>13</v>
      </c>
    </row>
    <row r="6" ht="20" customHeight="1">
      <c r="A6" s="36" t="inlineStr">
        <is>
          <t>Marlos</t>
        </is>
      </c>
      <c r="B6" s="39" t="n">
        <v>65</v>
      </c>
      <c r="C6" s="39" t="n">
        <v>73</v>
      </c>
      <c r="D6" s="39" t="n">
        <v>4</v>
      </c>
      <c r="E6" s="39" t="n">
        <v>9</v>
      </c>
    </row>
    <row r="7" ht="20" customHeight="1">
      <c r="A7" s="34" t="inlineStr">
        <is>
          <t>Dudex</t>
        </is>
      </c>
      <c r="B7" s="40" t="n">
        <v>50</v>
      </c>
      <c r="C7" s="40" t="n">
        <v>69</v>
      </c>
      <c r="D7" s="40" t="n">
        <v>11</v>
      </c>
      <c r="E7" s="40" t="n">
        <v>13</v>
      </c>
    </row>
    <row r="8" ht="20" customHeight="1">
      <c r="A8" s="36" t="inlineStr">
        <is>
          <t>Rivaldo</t>
        </is>
      </c>
      <c r="B8" s="41" t="n">
        <v>27</v>
      </c>
      <c r="C8" s="41" t="n">
        <v>30</v>
      </c>
      <c r="D8" s="41" t="n">
        <v>3</v>
      </c>
      <c r="E8" s="41" t="n">
        <v>8</v>
      </c>
    </row>
    <row r="9" ht="20" customHeight="1">
      <c r="A9" s="34" t="inlineStr">
        <is>
          <t>Jota</t>
        </is>
      </c>
      <c r="B9" s="42" t="n"/>
      <c r="C9" s="42" t="n"/>
      <c r="D9" s="43" t="n">
        <v>20</v>
      </c>
      <c r="E9" s="43" t="n">
        <v>12</v>
      </c>
    </row>
    <row r="10" ht="20" customHeight="1">
      <c r="A10" s="36" t="inlineStr">
        <is>
          <t>Vini Paulista</t>
        </is>
      </c>
      <c r="B10" s="44" t="n">
        <v>12</v>
      </c>
      <c r="C10" s="44" t="n">
        <v>49</v>
      </c>
      <c r="D10" s="44" t="n">
        <v>10</v>
      </c>
      <c r="E10" s="44" t="n">
        <v>11</v>
      </c>
    </row>
    <row r="11" ht="20" customHeight="1">
      <c r="A11" s="34" t="inlineStr">
        <is>
          <t>Leo Campos</t>
        </is>
      </c>
      <c r="B11" s="42" t="n"/>
      <c r="C11" s="42" t="n"/>
      <c r="D11" s="45" t="n">
        <v>22</v>
      </c>
      <c r="E11" s="45" t="n">
        <v>6</v>
      </c>
    </row>
    <row r="12" ht="20" customHeight="1">
      <c r="A12" s="36" t="inlineStr">
        <is>
          <t>Eduardo Serpa</t>
        </is>
      </c>
      <c r="B12" s="46" t="n"/>
      <c r="C12" s="46" t="n"/>
      <c r="D12" s="47" t="n">
        <v>14</v>
      </c>
      <c r="E12" s="47" t="n">
        <v>13</v>
      </c>
    </row>
    <row r="13" ht="20" customHeight="1">
      <c r="A13" s="34" t="inlineStr">
        <is>
          <t>Rodrigo Azevedo</t>
        </is>
      </c>
      <c r="B13" s="42" t="n"/>
      <c r="C13" s="42" t="n"/>
      <c r="D13" s="35" t="n">
        <v>5</v>
      </c>
      <c r="E13" s="35" t="n">
        <v>12</v>
      </c>
    </row>
    <row r="14" ht="20" customHeight="1">
      <c r="A14" s="36" t="inlineStr">
        <is>
          <t>Fran</t>
        </is>
      </c>
      <c r="B14" s="46" t="n"/>
      <c r="C14" s="46" t="n"/>
      <c r="D14" s="37" t="n">
        <v>34</v>
      </c>
      <c r="E14" s="37" t="n">
        <v>9</v>
      </c>
    </row>
    <row r="15" ht="20" customHeight="1">
      <c r="A15" s="34" t="inlineStr">
        <is>
          <t>Diego</t>
        </is>
      </c>
      <c r="B15" s="42" t="n"/>
      <c r="C15" s="42" t="n"/>
      <c r="D15" s="38" t="n">
        <v>2</v>
      </c>
      <c r="E15" s="38" t="n">
        <v>9</v>
      </c>
    </row>
    <row r="16" ht="20" customHeight="1">
      <c r="A16" s="36" t="inlineStr">
        <is>
          <t>Carrilho</t>
        </is>
      </c>
      <c r="B16" s="46" t="n"/>
      <c r="C16" s="46" t="n"/>
      <c r="D16" s="46" t="n"/>
      <c r="E16" s="39" t="n">
        <v>13</v>
      </c>
    </row>
    <row r="17" ht="20" customHeight="1">
      <c r="A17" s="34" t="inlineStr">
        <is>
          <t>João G.</t>
        </is>
      </c>
      <c r="B17" s="42" t="n"/>
      <c r="C17" s="42" t="n"/>
      <c r="D17" s="42" t="n"/>
      <c r="E17" s="40" t="n">
        <v>14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D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</cols>
  <sheetData>
    <row r="1" ht="32" customHeight="1">
      <c r="B1" s="48" t="inlineStr">
        <is>
          <t>⚽ ÚLTIMA PELADA — 14/05/2026</t>
        </is>
      </c>
    </row>
    <row r="2" ht="24" customHeight="1">
      <c r="B2" s="49" t="inlineStr">
        <is>
          <t>🔵 TIME BRANCO</t>
        </is>
      </c>
      <c r="C2" s="50" t="inlineStr">
        <is>
          <t>⚫ TIME PRETO</t>
        </is>
      </c>
      <c r="D2" s="51" t="inlineStr">
        <is>
          <t>🔴 TIME VERMELHO</t>
        </is>
      </c>
    </row>
    <row r="3">
      <c r="B3" s="52" t="inlineStr">
        <is>
          <t>2V · 2E · 2D</t>
        </is>
      </c>
      <c r="C3" s="52" t="inlineStr">
        <is>
          <t>4V · 1E · 1D</t>
        </is>
      </c>
      <c r="D3" s="52" t="inlineStr">
        <is>
          <t>0V · 1E · 3D</t>
        </is>
      </c>
    </row>
    <row r="4" ht="19" customHeight="1">
      <c r="B4" s="8" t="inlineStr">
        <is>
          <t>Rivaldo</t>
        </is>
      </c>
      <c r="C4" s="8" t="inlineStr">
        <is>
          <t>Eduardo</t>
        </is>
      </c>
      <c r="D4" s="8" t="inlineStr">
        <is>
          <t>Cardassi</t>
        </is>
      </c>
    </row>
    <row r="5" ht="19" customHeight="1">
      <c r="B5" s="10" t="inlineStr">
        <is>
          <t>João G.</t>
        </is>
      </c>
      <c r="C5" s="10" t="inlineStr">
        <is>
          <t>Rodrigao</t>
        </is>
      </c>
      <c r="D5" s="10" t="inlineStr">
        <is>
          <t>Matheus Duarte</t>
        </is>
      </c>
    </row>
    <row r="6" ht="19" customHeight="1">
      <c r="B6" s="8" t="inlineStr">
        <is>
          <t>Jota</t>
        </is>
      </c>
      <c r="C6" s="8" t="inlineStr">
        <is>
          <t>Bernardo</t>
        </is>
      </c>
      <c r="D6" s="8" t="inlineStr">
        <is>
          <t>Leo</t>
        </is>
      </c>
    </row>
    <row r="7" ht="19" customHeight="1">
      <c r="B7" s="10" t="inlineStr">
        <is>
          <t>Dudex</t>
        </is>
      </c>
      <c r="C7" s="10" t="inlineStr">
        <is>
          <t>Carrilho</t>
        </is>
      </c>
      <c r="D7" s="10" t="inlineStr">
        <is>
          <t>Vini Paulista</t>
        </is>
      </c>
    </row>
    <row r="8" ht="19" customHeight="1">
      <c r="B8" s="8" t="inlineStr">
        <is>
          <t>Jean</t>
        </is>
      </c>
      <c r="C8" s="8" t="inlineStr">
        <is>
          <t>Junior</t>
        </is>
      </c>
      <c r="D8" s="8" t="inlineStr">
        <is>
          <t>Falero</t>
        </is>
      </c>
    </row>
    <row r="9" ht="19" customHeight="1">
      <c r="B9" s="10" t="inlineStr">
        <is>
          <t>Diego</t>
        </is>
      </c>
      <c r="C9" s="10" t="inlineStr">
        <is>
          <t>Marlos</t>
        </is>
      </c>
    </row>
    <row r="10" ht="19" customHeight="1">
      <c r="C10" s="8" t="inlineStr">
        <is>
          <t>PM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2026-05-22T10:36:23Z</dcterms:created>
  <dcterms:modified xmlns:dcterms="http://purl.org/dc/terms/" xmlns:xsi="http://www.w3.org/2001/XMLSchema-instance" xsi:type="dcterms:W3CDTF">2026-05-22T10:36:24Z</dcterms:modified>
</cp:coreProperties>
</file>