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85223166\Desktop\Controle Pelada\"/>
    </mc:Choice>
  </mc:AlternateContent>
  <xr:revisionPtr revIDLastSave="0" documentId="13_ncr:1_{1FC90318-1FEA-4FCD-8B7F-60349784D4A3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⚙️ Config" sheetId="2" r:id="rId1"/>
    <sheet name="📋 Instruções" sheetId="1" r:id="rId2"/>
    <sheet name="⚽ Ultima_Pelada" sheetId="7" r:id="rId3"/>
    <sheet name="🟥 Jogadores_Mes" sheetId="3" r:id="rId4"/>
    <sheet name="🟨 Artilharia_Mes" sheetId="4" r:id="rId5"/>
    <sheet name="🟧 Assistencias_Mes" sheetId="5" r:id="rId6"/>
    <sheet name="📅 Historico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6" i="3" l="1"/>
  <c r="E26" i="3"/>
  <c r="D26" i="3"/>
  <c r="I25" i="3"/>
  <c r="H25" i="3"/>
  <c r="I24" i="3"/>
  <c r="H24" i="3"/>
  <c r="I23" i="3"/>
  <c r="H23" i="3"/>
  <c r="I22" i="3"/>
  <c r="H22" i="3"/>
  <c r="I21" i="3"/>
  <c r="H21" i="3"/>
  <c r="I20" i="3"/>
  <c r="H20" i="3"/>
  <c r="I19" i="3"/>
  <c r="H19" i="3"/>
  <c r="I18" i="3"/>
  <c r="H18" i="3"/>
  <c r="I17" i="3"/>
  <c r="H17" i="3"/>
  <c r="I16" i="3"/>
  <c r="H16" i="3"/>
  <c r="I15" i="3"/>
  <c r="H15" i="3"/>
  <c r="I14" i="3"/>
  <c r="H14" i="3"/>
  <c r="I13" i="3"/>
  <c r="H13" i="3"/>
  <c r="I12" i="3"/>
  <c r="H12" i="3"/>
  <c r="I11" i="3"/>
  <c r="H11" i="3"/>
  <c r="I10" i="3"/>
  <c r="H10" i="3"/>
  <c r="I9" i="3"/>
  <c r="H9" i="3"/>
  <c r="I8" i="3"/>
  <c r="H8" i="3"/>
  <c r="I7" i="3"/>
  <c r="H7" i="3"/>
  <c r="I6" i="3"/>
  <c r="H6" i="3"/>
  <c r="I5" i="3"/>
  <c r="H5" i="3"/>
  <c r="I4" i="3"/>
  <c r="H4" i="3"/>
  <c r="I3" i="3"/>
  <c r="H3" i="3"/>
</calcChain>
</file>

<file path=xl/sharedStrings.xml><?xml version="1.0" encoding="utf-8"?>
<sst xmlns="http://schemas.openxmlformats.org/spreadsheetml/2006/main" count="234" uniqueCount="152">
  <si>
    <t>⚽  PELADA DO FILHÃO — BASE DE DADOS</t>
  </si>
  <si>
    <t>Atualize as abas semanalmente. O dashboard HTML lê os dados direto daqui.</t>
  </si>
  <si>
    <t>ABA</t>
  </si>
  <si>
    <t>O QUE FAZER TODA SEMANA</t>
  </si>
  <si>
    <t>🟥 Jogadores_Mes</t>
  </si>
  <si>
    <t>Atualize pts_mes, gols_mes, ass_mes e forma de cada jogador. Incremente total_peladas_mes.</t>
  </si>
  <si>
    <t>🟨 Artilharia_Mes</t>
  </si>
  <si>
    <t>Atualize gols e presenças. Mantenha do maior para o menor.</t>
  </si>
  <si>
    <t>🟧 Assistencias_Mes</t>
  </si>
  <si>
    <t>Atualize assistências e presenças. Mantenha do maior para o menor.</t>
  </si>
  <si>
    <t>📅 Historico</t>
  </si>
  <si>
    <t>Ao virar o mês: copie os totais de Jogadores_Mes aqui antes de zerar.</t>
  </si>
  <si>
    <t>⚙️ Config</t>
  </si>
  <si>
    <t>Atualize mês/ano e total de peladas ao virar o mês.</t>
  </si>
  <si>
    <t>CAMPO</t>
  </si>
  <si>
    <t>SIGNIFICADO</t>
  </si>
  <si>
    <t>tipo = M</t>
  </si>
  <si>
    <t>Mensalista — jogador fixo</t>
  </si>
  <si>
    <t>tipo = D</t>
  </si>
  <si>
    <t>Diarista — jogador avulso</t>
  </si>
  <si>
    <t>forma</t>
  </si>
  <si>
    <t>Últimos 5 jogos: V=Vitória, E=Empate, D=Derrota (separados por vírgula)</t>
  </si>
  <si>
    <t>pts_mes</t>
  </si>
  <si>
    <t>Pontuação total acumulada no mês corrente</t>
  </si>
  <si>
    <t>CONFIGURAÇÃO GERAL</t>
  </si>
  <si>
    <t>nome_grupo</t>
  </si>
  <si>
    <t>Pelada do Filhão</t>
  </si>
  <si>
    <t>desde</t>
  </si>
  <si>
    <t>2022</t>
  </si>
  <si>
    <t>dia_semana</t>
  </si>
  <si>
    <t>Quinta-feira</t>
  </si>
  <si>
    <t>mes_atual</t>
  </si>
  <si>
    <t>Maio</t>
  </si>
  <si>
    <t>ano_atual</t>
  </si>
  <si>
    <t>2026</t>
  </si>
  <si>
    <t>total_peladas_mes</t>
  </si>
  <si>
    <t>2</t>
  </si>
  <si>
    <t>data_ultima_pelada</t>
  </si>
  <si>
    <t>2026-05-14</t>
  </si>
  <si>
    <t>🟥 JOGADORES DO MÊS — atualizar a cada pelada</t>
  </si>
  <si>
    <t>Nome</t>
  </si>
  <si>
    <t>Inic.</t>
  </si>
  <si>
    <t>Tipo</t>
  </si>
  <si>
    <t>Pts Mês</t>
  </si>
  <si>
    <t>Gols</t>
  </si>
  <si>
    <t>Assist.</t>
  </si>
  <si>
    <t>Forma (V/E/D)</t>
  </si>
  <si>
    <t>Rank</t>
  </si>
  <si>
    <t>% Particip.</t>
  </si>
  <si>
    <t>Junior</t>
  </si>
  <si>
    <t>JR</t>
  </si>
  <si>
    <t>M</t>
  </si>
  <si>
    <t>V,V,V,E,V</t>
  </si>
  <si>
    <t>João G.</t>
  </si>
  <si>
    <t>JG</t>
  </si>
  <si>
    <t>D</t>
  </si>
  <si>
    <t>V,V,D,V,V</t>
  </si>
  <si>
    <t>Dudex</t>
  </si>
  <si>
    <t>DX</t>
  </si>
  <si>
    <t>V,E,V,V,D</t>
  </si>
  <si>
    <t>Eduardo Serpa</t>
  </si>
  <si>
    <t>ES</t>
  </si>
  <si>
    <t>V,V,E,D,V</t>
  </si>
  <si>
    <t>Jean</t>
  </si>
  <si>
    <t>JN</t>
  </si>
  <si>
    <t>V,V,V,E,D</t>
  </si>
  <si>
    <t>Carrilho</t>
  </si>
  <si>
    <t>CR</t>
  </si>
  <si>
    <t>V,D,V,V,E</t>
  </si>
  <si>
    <t>Rodrigo Azevedo</t>
  </si>
  <si>
    <t>RA</t>
  </si>
  <si>
    <t>V,V,D,E,V</t>
  </si>
  <si>
    <t>Jota</t>
  </si>
  <si>
    <t>JT</t>
  </si>
  <si>
    <t>E,V,V,D,V</t>
  </si>
  <si>
    <t>Vini Paulista</t>
  </si>
  <si>
    <t>VP</t>
  </si>
  <si>
    <t>V,D,E,V,V</t>
  </si>
  <si>
    <t>Marlos</t>
  </si>
  <si>
    <t>ML</t>
  </si>
  <si>
    <t>V,V,D,D,E</t>
  </si>
  <si>
    <t>Diego</t>
  </si>
  <si>
    <t>DG</t>
  </si>
  <si>
    <t>E,V,D,V,V</t>
  </si>
  <si>
    <t>Fran</t>
  </si>
  <si>
    <t>FR</t>
  </si>
  <si>
    <t>V,E,V,D,V</t>
  </si>
  <si>
    <t>Rivaldo</t>
  </si>
  <si>
    <t>RV</t>
  </si>
  <si>
    <t>D,V,E,V,V</t>
  </si>
  <si>
    <t>Leo Campos</t>
  </si>
  <si>
    <t>LC</t>
  </si>
  <si>
    <t>V,V,D,E,D</t>
  </si>
  <si>
    <t>Bernardo</t>
  </si>
  <si>
    <t>BN</t>
  </si>
  <si>
    <t>E,D,V,V,D</t>
  </si>
  <si>
    <t>Cardassi</t>
  </si>
  <si>
    <t>CD</t>
  </si>
  <si>
    <t>D,E,V,D,V</t>
  </si>
  <si>
    <t>Matheus Duarte</t>
  </si>
  <si>
    <t>MD</t>
  </si>
  <si>
    <t>V,D,D,E,V</t>
  </si>
  <si>
    <t>Rodriguinho</t>
  </si>
  <si>
    <t>RD</t>
  </si>
  <si>
    <t>D,V,E,D,V</t>
  </si>
  <si>
    <t>Coutinho</t>
  </si>
  <si>
    <t>CT</t>
  </si>
  <si>
    <t>E,D,V,D,E</t>
  </si>
  <si>
    <t>Falero</t>
  </si>
  <si>
    <t>FL</t>
  </si>
  <si>
    <t>D,E,D,V,D</t>
  </si>
  <si>
    <t>Pavanelli</t>
  </si>
  <si>
    <t>PV</t>
  </si>
  <si>
    <t>D,D,E,D,V</t>
  </si>
  <si>
    <t>Matheus Martins</t>
  </si>
  <si>
    <t>MM</t>
  </si>
  <si>
    <t>D,D,D,E,D</t>
  </si>
  <si>
    <t>Victor Pena</t>
  </si>
  <si>
    <t>VC</t>
  </si>
  <si>
    <t>D,D,D,D,D</t>
  </si>
  <si>
    <t>TOTAL</t>
  </si>
  <si>
    <t>🟨 ARTILHARIA DO MÊS — atualizar a cada pelada</t>
  </si>
  <si>
    <t>Posição</t>
  </si>
  <si>
    <t>Presenças</t>
  </si>
  <si>
    <t>1°</t>
  </si>
  <si>
    <t>2°</t>
  </si>
  <si>
    <t>3°</t>
  </si>
  <si>
    <t>4°</t>
  </si>
  <si>
    <t>5°</t>
  </si>
  <si>
    <t>6°</t>
  </si>
  <si>
    <t>7°</t>
  </si>
  <si>
    <t>8°</t>
  </si>
  <si>
    <t>9°</t>
  </si>
  <si>
    <t>10°</t>
  </si>
  <si>
    <t>🟧 ASSISTÊNCIAS DO MÊS — atualizar a cada pelada</t>
  </si>
  <si>
    <t>📅 HISTÓRICO — copie os dados ao virar o mês</t>
  </si>
  <si>
    <t>Jogador</t>
  </si>
  <si>
    <t>Nov/22</t>
  </si>
  <si>
    <t>Jan/23</t>
  </si>
  <si>
    <t>Abr/26</t>
  </si>
  <si>
    <t>Mai/26</t>
  </si>
  <si>
    <t>⚽ ÚLTIMA PELADA — 14/05/2026</t>
  </si>
  <si>
    <t>🔵 TIME BRANCO</t>
  </si>
  <si>
    <t>⚫ TIME PRETO</t>
  </si>
  <si>
    <t>🔴 TIME VERMELHO</t>
  </si>
  <si>
    <t>2V · 2E · 2D</t>
  </si>
  <si>
    <t>4V · 1E · 1D</t>
  </si>
  <si>
    <t>0V · 1E · 3D</t>
  </si>
  <si>
    <t>Eduardo</t>
  </si>
  <si>
    <t>Rodrigao</t>
  </si>
  <si>
    <t>Leo</t>
  </si>
  <si>
    <t>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</si>
</sst>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2" x14ac:knownFonts="1">
    <font>
      <sz val="11"/>
      <color theme="1"/>
      <name val="Calibri"/>
      <family val="2"/>
      <scheme val="minor"/>
    </font>
    <font>
      <b/>
      <sz val="16"/>
      <color rgb="FFF59E0B"/>
      <name val="Georgia"/>
      <family val="1"/>
    </font>
    <font>
      <i/>
      <sz val="10"/>
      <color rgb="FF9CA3AF"/>
      <name val="Georgia"/>
      <family val="1"/>
    </font>
    <font>
      <b/>
      <sz val="10"/>
      <color rgb="FFF59E0B"/>
      <name val="Georgia"/>
      <family val="1"/>
    </font>
    <font>
      <sz val="10"/>
      <color rgb="FF111827"/>
      <name val="Georgia"/>
      <family val="1"/>
    </font>
    <font>
      <b/>
      <sz val="13"/>
      <color rgb="FFF59E0B"/>
      <name val="Georgia"/>
      <family val="1"/>
    </font>
    <font>
      <sz val="11"/>
      <color rgb="FF111111"/>
      <name val="Georgia"/>
      <family val="1"/>
    </font>
    <font>
      <b/>
      <sz val="11"/>
      <color rgb="FF111111"/>
      <name val="Georgia"/>
      <family val="1"/>
    </font>
    <font>
      <b/>
      <sz val="10"/>
      <color rgb="FFFFFFFF"/>
      <name val="Georgia"/>
      <family val="1"/>
    </font>
    <font>
      <b/>
      <sz val="10"/>
      <color rgb="FFB91C1C"/>
      <name val="Georgia"/>
      <family val="1"/>
    </font>
    <font>
      <b/>
      <sz val="11"/>
      <color rgb="FFD97706"/>
      <name val="Georgia"/>
      <family val="1"/>
    </font>
    <font>
      <sz val="11"/>
      <color rgb="FF6B7280"/>
      <name val="Georgia"/>
      <family val="1"/>
    </font>
    <font>
      <b/>
      <sz val="10"/>
      <color rgb="FFD97706"/>
      <name val="Georgia"/>
      <family val="1"/>
    </font>
    <font>
      <b/>
      <sz val="11"/>
      <color rgb="FFFFFFFF"/>
      <name val="Georgia"/>
      <family val="1"/>
    </font>
    <font>
      <b/>
      <sz val="12"/>
      <color rgb="FFF59E0B"/>
      <name val="Georgia"/>
      <family val="1"/>
    </font>
    <font>
      <b/>
      <sz val="11"/>
      <color rgb="FFFFFFFF"/>
      <name val="Georgia"/>
      <family val="1"/>
    </font>
    <font>
      <b/>
      <sz val="12"/>
      <color rgb="FFD97706"/>
      <name val="Georgia"/>
      <family val="1"/>
    </font>
    <font>
      <b/>
      <sz val="12"/>
      <color rgb="FFB91C1C"/>
      <name val="Georgia"/>
      <family val="1"/>
    </font>
    <font>
      <b/>
      <sz val="11"/>
      <name val="Georgia"/>
      <family val="1"/>
    </font>
    <font>
      <b/>
      <sz val="11"/>
      <color rgb="FFEF4444"/>
      <name val="Georgia"/>
      <family val="1"/>
    </font>
    <font>
      <b/>
      <sz val="11"/>
      <color rgb="FFF59E0B"/>
      <name val="Georgia"/>
      <family val="1"/>
    </font>
    <font>
      <b/>
      <sz val="11"/>
      <color rgb="FFFB923C"/>
      <name val="Georgia"/>
      <family val="1"/>
    </font>
    <font>
      <b/>
      <sz val="11"/>
      <color rgb="FFFCA5A5"/>
      <name val="Georgia"/>
      <family val="1"/>
    </font>
    <font>
      <b/>
      <sz val="11"/>
      <color rgb="FFFDE68A"/>
      <name val="Georgia"/>
      <family val="1"/>
    </font>
    <font>
      <b/>
      <sz val="11"/>
      <color rgb="FFB91C1C"/>
      <name val="Georgia"/>
      <family val="1"/>
    </font>
    <font>
      <sz val="11"/>
      <color rgb="FFCCCCCC"/>
      <name val="Georgia"/>
      <family val="1"/>
    </font>
    <font>
      <b/>
      <sz val="11"/>
      <color rgb="FFFBBF24"/>
      <name val="Georgia"/>
      <family val="1"/>
    </font>
    <font>
      <b/>
      <sz val="11"/>
      <color rgb="FFF87171"/>
      <name val="Georgia"/>
      <family val="1"/>
    </font>
    <font>
      <b/>
      <sz val="11"/>
      <color rgb="FFFEF3C7"/>
      <name val="Georgia"/>
      <family val="1"/>
    </font>
    <font>
      <b/>
      <sz val="14"/>
      <color rgb="FFF59E0B"/>
      <name val="Georgia"/>
      <family val="1"/>
    </font>
    <font>
      <b/>
      <sz val="11"/>
      <color rgb="FFE2E8F0"/>
      <name val="Georgia"/>
      <family val="1"/>
    </font>
    <font>
      <b/>
      <sz val="11"/>
      <color rgb="FFD1D5DB"/>
      <name val="Georgia"/>
      <family val="1"/>
    </font>
  </fonts>
  <fills count="15">
    <fill>
      <patternFill patternType="none"/>
    </fill>
    <fill>
      <patternFill patternType="gray125"/>
    </fill>
    <fill>
      <patternFill patternType="solid">
        <fgColor rgb="FF1A0000"/>
      </patternFill>
    </fill>
    <fill>
      <patternFill patternType="solid">
        <fgColor rgb="FF7F1D1D"/>
      </patternFill>
    </fill>
    <fill>
      <patternFill patternType="solid">
        <fgColor rgb="FFFFFFFF"/>
      </patternFill>
    </fill>
    <fill>
      <patternFill patternType="solid">
        <fgColor rgb="FFFFF7ED"/>
      </patternFill>
    </fill>
    <fill>
      <patternFill patternType="solid">
        <fgColor rgb="FFB91C1C"/>
      </patternFill>
    </fill>
    <fill>
      <patternFill patternType="solid">
        <fgColor rgb="FFFEE2E2"/>
      </patternFill>
    </fill>
    <fill>
      <patternFill patternType="solid">
        <fgColor rgb="FFFEF3C7"/>
      </patternFill>
    </fill>
    <fill>
      <patternFill patternType="solid">
        <fgColor rgb="FFF9FAFB"/>
      </patternFill>
    </fill>
    <fill>
      <patternFill patternType="solid">
        <fgColor rgb="FF78350F"/>
      </patternFill>
    </fill>
    <fill>
      <patternFill patternType="solid">
        <fgColor rgb="FFD97706"/>
      </patternFill>
    </fill>
    <fill>
      <patternFill patternType="solid">
        <fgColor rgb="FF475569"/>
      </patternFill>
    </fill>
    <fill>
      <patternFill patternType="solid">
        <fgColor rgb="FF1C1C1C"/>
      </patternFill>
    </fill>
    <fill>
      <patternFill patternType="solid">
        <fgColor rgb="FF1F2937"/>
      </patternFill>
    </fill>
  </fills>
  <borders count="2">
    <border>
      <left/>
      <right/>
      <top/>
      <bottom/>
      <diagonal/>
    </border>
    <border>
      <left style="thin">
        <color rgb="FFFCA5A5"/>
      </left>
      <right style="thin">
        <color rgb="FFFCA5A5"/>
      </right>
      <top style="thin">
        <color rgb="FFFCA5A5"/>
      </top>
      <bottom style="thin">
        <color rgb="FFFCA5A5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3" fillId="3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164" fontId="11" fillId="9" borderId="1" xfId="0" applyNumberFormat="1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3" fillId="2" borderId="1" xfId="0" applyFont="1" applyFill="1" applyBorder="1"/>
    <xf numFmtId="0" fontId="15" fillId="2" borderId="1" xfId="0" applyFont="1" applyFill="1" applyBorder="1"/>
    <xf numFmtId="0" fontId="14" fillId="2" borderId="1" xfId="0" applyFont="1" applyFill="1" applyBorder="1"/>
    <xf numFmtId="0" fontId="8" fillId="11" borderId="1" xfId="0" applyFont="1" applyFill="1" applyBorder="1" applyAlignment="1">
      <alignment horizontal="center" vertical="center" wrapText="1"/>
    </xf>
    <xf numFmtId="0" fontId="16" fillId="4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left" vertical="center"/>
    </xf>
    <xf numFmtId="0" fontId="16" fillId="8" borderId="1" xfId="0" applyFont="1" applyFill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left" vertical="center"/>
    </xf>
    <xf numFmtId="0" fontId="17" fillId="7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left" vertical="center"/>
    </xf>
    <xf numFmtId="0" fontId="19" fillId="4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left" vertical="center"/>
    </xf>
    <xf numFmtId="0" fontId="20" fillId="5" borderId="1" xfId="0" applyFont="1" applyFill="1" applyBorder="1" applyAlignment="1">
      <alignment horizontal="center" vertical="center" wrapText="1"/>
    </xf>
    <xf numFmtId="0" fontId="21" fillId="4" borderId="1" xfId="0" applyFont="1" applyFill="1" applyBorder="1" applyAlignment="1">
      <alignment horizontal="center" vertical="center" wrapText="1"/>
    </xf>
    <xf numFmtId="0" fontId="22" fillId="5" borderId="1" xfId="0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24" fillId="5" borderId="1" xfId="0" applyFont="1" applyFill="1" applyBorder="1" applyAlignment="1">
      <alignment horizontal="center" vertical="center" wrapText="1"/>
    </xf>
    <xf numFmtId="0" fontId="25" fillId="4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26" fillId="5" borderId="1" xfId="0" applyFont="1" applyFill="1" applyBorder="1" applyAlignment="1">
      <alignment horizontal="center" vertical="center" wrapText="1"/>
    </xf>
    <xf numFmtId="0" fontId="27" fillId="4" borderId="1" xfId="0" applyFont="1" applyFill="1" applyBorder="1" applyAlignment="1">
      <alignment horizontal="center" vertical="center" wrapText="1"/>
    </xf>
    <xf numFmtId="0" fontId="25" fillId="5" borderId="1" xfId="0" applyFont="1" applyFill="1" applyBorder="1" applyAlignment="1">
      <alignment horizontal="center" vertical="center" wrapText="1"/>
    </xf>
    <xf numFmtId="0" fontId="28" fillId="5" borderId="1" xfId="0" applyFont="1" applyFill="1" applyBorder="1" applyAlignment="1">
      <alignment horizontal="center" vertical="center" wrapText="1"/>
    </xf>
    <xf numFmtId="0" fontId="30" fillId="12" borderId="1" xfId="0" applyFont="1" applyFill="1" applyBorder="1" applyAlignment="1">
      <alignment horizontal="center" vertical="center" wrapText="1"/>
    </xf>
    <xf numFmtId="0" fontId="31" fillId="14" borderId="1" xfId="0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0" fontId="2" fillId="13" borderId="1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9" fillId="2" borderId="0" xfId="0" applyFont="1" applyFill="1" applyAlignment="1">
      <alignment horizontal="center" vertical="center" wrapText="1"/>
    </xf>
    <xf numFmtId="0" fontId="5" fillId="10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B1:C8"/>
  <sheetViews>
    <sheetView showGridLines="0" workbookViewId="0">
      <selection activeCell="E2" sqref="E2"/>
    </sheetView>
  </sheetViews>
  <sheetFormatPr defaultRowHeight="14.5" x14ac:dyDescent="0.35"/>
  <cols>
    <col min="1" max="1" width="3" customWidth="1"/>
    <col min="2" max="2" width="28" customWidth="1"/>
    <col min="3" max="3" width="30" customWidth="1"/>
  </cols>
  <sheetData>
    <row r="1" spans="2:3" ht="28" customHeight="1" x14ac:dyDescent="0.35">
      <c r="B1" s="47" t="s">
        <v>24</v>
      </c>
      <c r="C1" s="48"/>
    </row>
    <row r="2" spans="2:3" ht="20" customHeight="1" x14ac:dyDescent="0.35">
      <c r="B2" s="4" t="s">
        <v>25</v>
      </c>
      <c r="C2" s="5" t="s">
        <v>26</v>
      </c>
    </row>
    <row r="3" spans="2:3" ht="20" customHeight="1" x14ac:dyDescent="0.35">
      <c r="B3" s="6" t="s">
        <v>27</v>
      </c>
      <c r="C3" s="7" t="s">
        <v>28</v>
      </c>
    </row>
    <row r="4" spans="2:3" ht="20" customHeight="1" x14ac:dyDescent="0.35">
      <c r="B4" s="4" t="s">
        <v>29</v>
      </c>
      <c r="C4" s="5" t="s">
        <v>30</v>
      </c>
    </row>
    <row r="5" spans="2:3" ht="20" customHeight="1" x14ac:dyDescent="0.35">
      <c r="B5" s="6" t="s">
        <v>31</v>
      </c>
      <c r="C5" s="7" t="s">
        <v>32</v>
      </c>
    </row>
    <row r="6" spans="2:3" ht="20" customHeight="1" x14ac:dyDescent="0.35">
      <c r="B6" s="4" t="s">
        <v>33</v>
      </c>
      <c r="C6" s="5" t="s">
        <v>34</v>
      </c>
    </row>
    <row r="7" spans="2:3" ht="20" customHeight="1" x14ac:dyDescent="0.35">
      <c r="B7" s="6" t="s">
        <v>35</v>
      </c>
      <c r="C7" s="7" t="s">
        <v>36</v>
      </c>
    </row>
    <row r="8" spans="2:3" ht="20" customHeight="1" x14ac:dyDescent="0.35">
      <c r="B8" s="4" t="s">
        <v>37</v>
      </c>
      <c r="C8" s="5" t="s">
        <v>38</v>
      </c>
    </row>
  </sheetData>
  <mergeCells count="1">
    <mergeCell ref="B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15"/>
  <sheetViews>
    <sheetView showGridLines="0" workbookViewId="0">
      <selection activeCell="C8" sqref="C8"/>
    </sheetView>
  </sheetViews>
  <sheetFormatPr defaultRowHeight="14.5" x14ac:dyDescent="0.35"/>
  <cols>
    <col min="1" max="1" width="3" customWidth="1"/>
    <col min="2" max="2" width="28" customWidth="1"/>
    <col min="3" max="3" width="79.7265625" bestFit="1" customWidth="1"/>
  </cols>
  <sheetData>
    <row r="1" spans="2:3" ht="38" customHeight="1" x14ac:dyDescent="0.35">
      <c r="B1" s="49" t="s">
        <v>0</v>
      </c>
      <c r="C1" s="48"/>
    </row>
    <row r="2" spans="2:3" ht="20" customHeight="1" x14ac:dyDescent="0.35">
      <c r="B2" s="50" t="s">
        <v>1</v>
      </c>
      <c r="C2" s="48"/>
    </row>
    <row r="4" spans="2:3" ht="20" customHeight="1" x14ac:dyDescent="0.35">
      <c r="B4" s="1" t="s">
        <v>2</v>
      </c>
      <c r="C4" s="1" t="s">
        <v>3</v>
      </c>
    </row>
    <row r="5" spans="2:3" ht="20" customHeight="1" x14ac:dyDescent="0.35">
      <c r="B5" s="2" t="s">
        <v>4</v>
      </c>
      <c r="C5" s="2" t="s">
        <v>5</v>
      </c>
    </row>
    <row r="6" spans="2:3" ht="20" customHeight="1" x14ac:dyDescent="0.35">
      <c r="B6" s="3" t="s">
        <v>6</v>
      </c>
      <c r="C6" s="3" t="s">
        <v>7</v>
      </c>
    </row>
    <row r="7" spans="2:3" ht="20" customHeight="1" x14ac:dyDescent="0.35">
      <c r="B7" s="2" t="s">
        <v>8</v>
      </c>
      <c r="C7" s="2" t="s">
        <v>9</v>
      </c>
    </row>
    <row r="8" spans="2:3" ht="20" customHeight="1" x14ac:dyDescent="0.35">
      <c r="B8" s="3" t="s">
        <v>10</v>
      </c>
      <c r="C8" s="3" t="s">
        <v>11</v>
      </c>
    </row>
    <row r="9" spans="2:3" ht="20" customHeight="1" x14ac:dyDescent="0.35">
      <c r="B9" s="2" t="s">
        <v>12</v>
      </c>
      <c r="C9" s="2" t="s">
        <v>13</v>
      </c>
    </row>
    <row r="10" spans="2:3" ht="20" customHeight="1" x14ac:dyDescent="0.35">
      <c r="B10" s="3"/>
      <c r="C10" s="3"/>
    </row>
    <row r="11" spans="2:3" ht="20" customHeight="1" x14ac:dyDescent="0.35">
      <c r="B11" s="1" t="s">
        <v>14</v>
      </c>
      <c r="C11" s="1" t="s">
        <v>15</v>
      </c>
    </row>
    <row r="12" spans="2:3" ht="20" customHeight="1" x14ac:dyDescent="0.35">
      <c r="B12" s="3" t="s">
        <v>16</v>
      </c>
      <c r="C12" s="3" t="s">
        <v>17</v>
      </c>
    </row>
    <row r="13" spans="2:3" ht="20" customHeight="1" x14ac:dyDescent="0.35">
      <c r="B13" s="2" t="s">
        <v>18</v>
      </c>
      <c r="C13" s="2" t="s">
        <v>19</v>
      </c>
    </row>
    <row r="14" spans="2:3" ht="20" customHeight="1" x14ac:dyDescent="0.35">
      <c r="B14" s="3" t="s">
        <v>20</v>
      </c>
      <c r="C14" s="3" t="s">
        <v>21</v>
      </c>
    </row>
    <row r="15" spans="2:3" ht="20" customHeight="1" x14ac:dyDescent="0.35">
      <c r="B15" s="2" t="s">
        <v>22</v>
      </c>
      <c r="C15" s="2" t="s">
        <v>23</v>
      </c>
    </row>
  </sheetData>
  <mergeCells count="2">
    <mergeCell ref="B1:C1"/>
    <mergeCell ref="B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D10"/>
  <sheetViews>
    <sheetView showGridLines="0" workbookViewId="0">
      <selection activeCell="D6" sqref="D6"/>
    </sheetView>
  </sheetViews>
  <sheetFormatPr defaultRowHeight="14.5" x14ac:dyDescent="0.35"/>
  <cols>
    <col min="1" max="1" width="3" customWidth="1"/>
    <col min="2" max="4" width="22" customWidth="1"/>
  </cols>
  <sheetData>
    <row r="1" spans="2:4" ht="32" customHeight="1" x14ac:dyDescent="0.35">
      <c r="B1" s="51" t="s">
        <v>141</v>
      </c>
      <c r="C1" s="48"/>
      <c r="D1" s="48"/>
    </row>
    <row r="2" spans="2:4" ht="24" customHeight="1" x14ac:dyDescent="0.35">
      <c r="B2" s="43" t="s">
        <v>142</v>
      </c>
      <c r="C2" s="44" t="s">
        <v>143</v>
      </c>
      <c r="D2" s="45" t="s">
        <v>144</v>
      </c>
    </row>
    <row r="3" spans="2:4" x14ac:dyDescent="0.35">
      <c r="B3" s="46" t="s">
        <v>145</v>
      </c>
      <c r="C3" s="46" t="s">
        <v>146</v>
      </c>
      <c r="D3" s="46" t="s">
        <v>147</v>
      </c>
    </row>
    <row r="4" spans="2:4" ht="19" customHeight="1" x14ac:dyDescent="0.35">
      <c r="B4" s="5" t="s">
        <v>87</v>
      </c>
      <c r="C4" s="5" t="s">
        <v>148</v>
      </c>
      <c r="D4" s="5" t="s">
        <v>96</v>
      </c>
    </row>
    <row r="5" spans="2:4" ht="19" customHeight="1" x14ac:dyDescent="0.35">
      <c r="B5" s="7" t="s">
        <v>53</v>
      </c>
      <c r="C5" s="7" t="s">
        <v>149</v>
      </c>
      <c r="D5" s="7" t="s">
        <v>99</v>
      </c>
    </row>
    <row r="6" spans="2:4" ht="19" customHeight="1" x14ac:dyDescent="0.35">
      <c r="B6" s="5" t="s">
        <v>72</v>
      </c>
      <c r="C6" s="5" t="s">
        <v>93</v>
      </c>
      <c r="D6" s="5" t="s">
        <v>150</v>
      </c>
    </row>
    <row r="7" spans="2:4" ht="19" customHeight="1" x14ac:dyDescent="0.35">
      <c r="B7" s="7" t="s">
        <v>57</v>
      </c>
      <c r="C7" s="7" t="s">
        <v>66</v>
      </c>
      <c r="D7" s="7" t="s">
        <v>75</v>
      </c>
    </row>
    <row r="8" spans="2:4" ht="19" customHeight="1" x14ac:dyDescent="0.35">
      <c r="B8" s="5" t="s">
        <v>63</v>
      </c>
      <c r="C8" s="5" t="s">
        <v>49</v>
      </c>
      <c r="D8" s="5" t="s">
        <v>108</v>
      </c>
    </row>
    <row r="9" spans="2:4" ht="19" customHeight="1" x14ac:dyDescent="0.35">
      <c r="B9" s="7" t="s">
        <v>81</v>
      </c>
      <c r="C9" s="7" t="s">
        <v>78</v>
      </c>
    </row>
    <row r="10" spans="2:4" ht="19" customHeight="1" x14ac:dyDescent="0.35">
      <c r="C10" s="5" t="s">
        <v>151</v>
      </c>
    </row>
  </sheetData>
  <mergeCells count="1">
    <mergeCell ref="B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6"/>
  <sheetViews>
    <sheetView showGridLines="0" tabSelected="1" workbookViewId="0">
      <pane ySplit="2" topLeftCell="A3" activePane="bottomLeft" state="frozen"/>
      <selection pane="bottomLeft" activeCell="E5" sqref="E5"/>
    </sheetView>
  </sheetViews>
  <sheetFormatPr defaultRowHeight="14.5" x14ac:dyDescent="0.35"/>
  <cols>
    <col min="1" max="1" width="22" customWidth="1"/>
    <col min="2" max="2" width="10" customWidth="1"/>
    <col min="3" max="6" width="12" customWidth="1"/>
    <col min="7" max="7" width="22" customWidth="1"/>
    <col min="8" max="8" width="8" customWidth="1"/>
    <col min="9" max="9" width="18" customWidth="1"/>
  </cols>
  <sheetData>
    <row r="1" spans="1:9" ht="30" customHeight="1" x14ac:dyDescent="0.35">
      <c r="A1" s="47" t="s">
        <v>39</v>
      </c>
      <c r="B1" s="48"/>
      <c r="C1" s="48"/>
      <c r="D1" s="48"/>
      <c r="E1" s="48"/>
      <c r="F1" s="48"/>
      <c r="G1" s="48"/>
      <c r="H1" s="48"/>
      <c r="I1" s="48"/>
    </row>
    <row r="2" spans="1:9" ht="22" customHeight="1" x14ac:dyDescent="0.35">
      <c r="A2" s="8" t="s">
        <v>40</v>
      </c>
      <c r="B2" s="8" t="s">
        <v>41</v>
      </c>
      <c r="C2" s="8" t="s">
        <v>42</v>
      </c>
      <c r="D2" s="8" t="s">
        <v>43</v>
      </c>
      <c r="E2" s="8" t="s">
        <v>44</v>
      </c>
      <c r="F2" s="8" t="s">
        <v>45</v>
      </c>
      <c r="G2" s="8" t="s">
        <v>46</v>
      </c>
      <c r="H2" s="8" t="s">
        <v>47</v>
      </c>
      <c r="I2" s="8" t="s">
        <v>48</v>
      </c>
    </row>
    <row r="3" spans="1:9" ht="20" customHeight="1" x14ac:dyDescent="0.35">
      <c r="A3" s="7" t="s">
        <v>49</v>
      </c>
      <c r="B3" s="9" t="s">
        <v>50</v>
      </c>
      <c r="C3" s="10" t="s">
        <v>51</v>
      </c>
      <c r="D3" s="9">
        <v>19</v>
      </c>
      <c r="E3" s="9">
        <v>1</v>
      </c>
      <c r="F3" s="9">
        <v>1</v>
      </c>
      <c r="G3" s="9" t="s">
        <v>52</v>
      </c>
      <c r="H3" s="11">
        <f t="shared" ref="H3:H25" si="0">RANK(D3,D$3:D$25,0)</f>
        <v>1</v>
      </c>
      <c r="I3" s="12">
        <f t="shared" ref="I3:I25" si="1">IFERROR(D3/SUM(D$3:D$25),0)</f>
        <v>0.1043956043956044</v>
      </c>
    </row>
    <row r="4" spans="1:9" ht="20" customHeight="1" x14ac:dyDescent="0.35">
      <c r="A4" s="5" t="s">
        <v>53</v>
      </c>
      <c r="B4" s="13" t="s">
        <v>54</v>
      </c>
      <c r="C4" s="14" t="s">
        <v>55</v>
      </c>
      <c r="D4" s="13">
        <v>14</v>
      </c>
      <c r="E4" s="13">
        <v>0</v>
      </c>
      <c r="F4" s="13">
        <v>0</v>
      </c>
      <c r="G4" s="13" t="s">
        <v>56</v>
      </c>
      <c r="H4" s="11">
        <f t="shared" si="0"/>
        <v>2</v>
      </c>
      <c r="I4" s="12">
        <f t="shared" si="1"/>
        <v>7.6923076923076927E-2</v>
      </c>
    </row>
    <row r="5" spans="1:9" ht="20" customHeight="1" x14ac:dyDescent="0.35">
      <c r="A5" s="7" t="s">
        <v>57</v>
      </c>
      <c r="B5" s="9" t="s">
        <v>58</v>
      </c>
      <c r="C5" s="10" t="s">
        <v>51</v>
      </c>
      <c r="D5" s="9">
        <v>13</v>
      </c>
      <c r="E5" s="9">
        <v>2</v>
      </c>
      <c r="F5" s="9">
        <v>2</v>
      </c>
      <c r="G5" s="9" t="s">
        <v>59</v>
      </c>
      <c r="H5" s="11">
        <f t="shared" si="0"/>
        <v>3</v>
      </c>
      <c r="I5" s="12">
        <f t="shared" si="1"/>
        <v>7.1428571428571425E-2</v>
      </c>
    </row>
    <row r="6" spans="1:9" ht="20" customHeight="1" x14ac:dyDescent="0.35">
      <c r="A6" s="5" t="s">
        <v>60</v>
      </c>
      <c r="B6" s="13" t="s">
        <v>61</v>
      </c>
      <c r="C6" s="10" t="s">
        <v>51</v>
      </c>
      <c r="D6" s="13">
        <v>13</v>
      </c>
      <c r="E6" s="13">
        <v>0</v>
      </c>
      <c r="F6" s="13">
        <v>0</v>
      </c>
      <c r="G6" s="13" t="s">
        <v>62</v>
      </c>
      <c r="H6" s="11">
        <f t="shared" si="0"/>
        <v>3</v>
      </c>
      <c r="I6" s="12">
        <f t="shared" si="1"/>
        <v>7.1428571428571425E-2</v>
      </c>
    </row>
    <row r="7" spans="1:9" ht="20" customHeight="1" x14ac:dyDescent="0.35">
      <c r="A7" s="7" t="s">
        <v>63</v>
      </c>
      <c r="B7" s="9" t="s">
        <v>64</v>
      </c>
      <c r="C7" s="10" t="s">
        <v>51</v>
      </c>
      <c r="D7" s="9">
        <v>13</v>
      </c>
      <c r="E7" s="9">
        <v>2</v>
      </c>
      <c r="F7" s="9">
        <v>0</v>
      </c>
      <c r="G7" s="9" t="s">
        <v>65</v>
      </c>
      <c r="H7" s="11">
        <f t="shared" si="0"/>
        <v>3</v>
      </c>
      <c r="I7" s="12">
        <f t="shared" si="1"/>
        <v>7.1428571428571425E-2</v>
      </c>
    </row>
    <row r="8" spans="1:9" ht="20" customHeight="1" x14ac:dyDescent="0.35">
      <c r="A8" s="5" t="s">
        <v>66</v>
      </c>
      <c r="B8" s="13" t="s">
        <v>67</v>
      </c>
      <c r="C8" s="14" t="s">
        <v>55</v>
      </c>
      <c r="D8" s="13">
        <v>13</v>
      </c>
      <c r="E8" s="13">
        <v>3</v>
      </c>
      <c r="F8" s="13">
        <v>1</v>
      </c>
      <c r="G8" s="13" t="s">
        <v>68</v>
      </c>
      <c r="H8" s="11">
        <f t="shared" si="0"/>
        <v>3</v>
      </c>
      <c r="I8" s="12">
        <f t="shared" si="1"/>
        <v>7.1428571428571425E-2</v>
      </c>
    </row>
    <row r="9" spans="1:9" ht="20" customHeight="1" x14ac:dyDescent="0.35">
      <c r="A9" s="7" t="s">
        <v>69</v>
      </c>
      <c r="B9" s="9" t="s">
        <v>70</v>
      </c>
      <c r="C9" s="10" t="s">
        <v>51</v>
      </c>
      <c r="D9" s="9">
        <v>12</v>
      </c>
      <c r="E9" s="9">
        <v>3</v>
      </c>
      <c r="F9" s="9">
        <v>0</v>
      </c>
      <c r="G9" s="9" t="s">
        <v>71</v>
      </c>
      <c r="H9" s="11">
        <f t="shared" si="0"/>
        <v>7</v>
      </c>
      <c r="I9" s="12">
        <f t="shared" si="1"/>
        <v>6.5934065934065936E-2</v>
      </c>
    </row>
    <row r="10" spans="1:9" ht="20" customHeight="1" x14ac:dyDescent="0.35">
      <c r="A10" s="5" t="s">
        <v>72</v>
      </c>
      <c r="B10" s="13" t="s">
        <v>73</v>
      </c>
      <c r="C10" s="10" t="s">
        <v>51</v>
      </c>
      <c r="D10" s="13">
        <v>12</v>
      </c>
      <c r="E10" s="13">
        <v>0</v>
      </c>
      <c r="F10" s="13">
        <v>1</v>
      </c>
      <c r="G10" s="13" t="s">
        <v>74</v>
      </c>
      <c r="H10" s="11">
        <f t="shared" si="0"/>
        <v>7</v>
      </c>
      <c r="I10" s="12">
        <f t="shared" si="1"/>
        <v>6.5934065934065936E-2</v>
      </c>
    </row>
    <row r="11" spans="1:9" ht="20" customHeight="1" x14ac:dyDescent="0.35">
      <c r="A11" s="7" t="s">
        <v>75</v>
      </c>
      <c r="B11" s="9" t="s">
        <v>76</v>
      </c>
      <c r="C11" s="10" t="s">
        <v>51</v>
      </c>
      <c r="D11" s="9">
        <v>11</v>
      </c>
      <c r="E11" s="9">
        <v>1</v>
      </c>
      <c r="F11" s="9">
        <v>0</v>
      </c>
      <c r="G11" s="9" t="s">
        <v>77</v>
      </c>
      <c r="H11" s="11">
        <f t="shared" si="0"/>
        <v>9</v>
      </c>
      <c r="I11" s="12">
        <f t="shared" si="1"/>
        <v>6.043956043956044E-2</v>
      </c>
    </row>
    <row r="12" spans="1:9" ht="20" customHeight="1" x14ac:dyDescent="0.35">
      <c r="A12" s="5" t="s">
        <v>78</v>
      </c>
      <c r="B12" s="13" t="s">
        <v>79</v>
      </c>
      <c r="C12" s="14" t="s">
        <v>55</v>
      </c>
      <c r="D12" s="13">
        <v>9</v>
      </c>
      <c r="E12" s="13">
        <v>2</v>
      </c>
      <c r="F12" s="13">
        <v>0</v>
      </c>
      <c r="G12" s="13" t="s">
        <v>80</v>
      </c>
      <c r="H12" s="11">
        <f t="shared" si="0"/>
        <v>10</v>
      </c>
      <c r="I12" s="12">
        <f t="shared" si="1"/>
        <v>4.9450549450549448E-2</v>
      </c>
    </row>
    <row r="13" spans="1:9" ht="20" customHeight="1" x14ac:dyDescent="0.35">
      <c r="A13" s="7" t="s">
        <v>81</v>
      </c>
      <c r="B13" s="9" t="s">
        <v>82</v>
      </c>
      <c r="C13" s="10" t="s">
        <v>51</v>
      </c>
      <c r="D13" s="9">
        <v>9</v>
      </c>
      <c r="E13" s="9">
        <v>4</v>
      </c>
      <c r="F13" s="9">
        <v>1</v>
      </c>
      <c r="G13" s="9" t="s">
        <v>83</v>
      </c>
      <c r="H13" s="11">
        <f t="shared" si="0"/>
        <v>10</v>
      </c>
      <c r="I13" s="12">
        <f t="shared" si="1"/>
        <v>4.9450549450549448E-2</v>
      </c>
    </row>
    <row r="14" spans="1:9" ht="20" customHeight="1" x14ac:dyDescent="0.35">
      <c r="A14" s="5" t="s">
        <v>84</v>
      </c>
      <c r="B14" s="13" t="s">
        <v>85</v>
      </c>
      <c r="C14" s="14" t="s">
        <v>55</v>
      </c>
      <c r="D14" s="13">
        <v>9</v>
      </c>
      <c r="E14" s="13">
        <v>0</v>
      </c>
      <c r="F14" s="13">
        <v>0</v>
      </c>
      <c r="G14" s="13" t="s">
        <v>86</v>
      </c>
      <c r="H14" s="11">
        <f t="shared" si="0"/>
        <v>10</v>
      </c>
      <c r="I14" s="12">
        <f t="shared" si="1"/>
        <v>4.9450549450549448E-2</v>
      </c>
    </row>
    <row r="15" spans="1:9" ht="20" customHeight="1" x14ac:dyDescent="0.35">
      <c r="A15" s="7" t="s">
        <v>87</v>
      </c>
      <c r="B15" s="9" t="s">
        <v>88</v>
      </c>
      <c r="C15" s="10" t="s">
        <v>51</v>
      </c>
      <c r="D15" s="9">
        <v>8</v>
      </c>
      <c r="E15" s="9">
        <v>0</v>
      </c>
      <c r="F15" s="9">
        <v>0</v>
      </c>
      <c r="G15" s="9" t="s">
        <v>89</v>
      </c>
      <c r="H15" s="11">
        <f t="shared" si="0"/>
        <v>13</v>
      </c>
      <c r="I15" s="12">
        <f t="shared" si="1"/>
        <v>4.3956043956043959E-2</v>
      </c>
    </row>
    <row r="16" spans="1:9" ht="20" customHeight="1" x14ac:dyDescent="0.35">
      <c r="A16" s="5" t="s">
        <v>90</v>
      </c>
      <c r="B16" s="13" t="s">
        <v>91</v>
      </c>
      <c r="C16" s="10" t="s">
        <v>51</v>
      </c>
      <c r="D16" s="13">
        <v>6</v>
      </c>
      <c r="E16" s="13">
        <v>2</v>
      </c>
      <c r="F16" s="13">
        <v>1</v>
      </c>
      <c r="G16" s="13" t="s">
        <v>92</v>
      </c>
      <c r="H16" s="11">
        <f t="shared" si="0"/>
        <v>14</v>
      </c>
      <c r="I16" s="12">
        <f t="shared" si="1"/>
        <v>3.2967032967032968E-2</v>
      </c>
    </row>
    <row r="17" spans="1:9" ht="20" customHeight="1" x14ac:dyDescent="0.35">
      <c r="A17" s="7" t="s">
        <v>93</v>
      </c>
      <c r="B17" s="9" t="s">
        <v>94</v>
      </c>
      <c r="C17" s="14" t="s">
        <v>55</v>
      </c>
      <c r="D17" s="9">
        <v>5</v>
      </c>
      <c r="E17" s="9">
        <v>1</v>
      </c>
      <c r="F17" s="9">
        <v>0</v>
      </c>
      <c r="G17" s="9" t="s">
        <v>95</v>
      </c>
      <c r="H17" s="11">
        <f t="shared" si="0"/>
        <v>15</v>
      </c>
      <c r="I17" s="12">
        <f t="shared" si="1"/>
        <v>2.7472527472527472E-2</v>
      </c>
    </row>
    <row r="18" spans="1:9" ht="20" customHeight="1" x14ac:dyDescent="0.35">
      <c r="A18" s="5" t="s">
        <v>96</v>
      </c>
      <c r="B18" s="13" t="s">
        <v>97</v>
      </c>
      <c r="C18" s="10" t="s">
        <v>51</v>
      </c>
      <c r="D18" s="13">
        <v>4</v>
      </c>
      <c r="E18" s="13">
        <v>0</v>
      </c>
      <c r="F18" s="13">
        <v>0</v>
      </c>
      <c r="G18" s="13" t="s">
        <v>98</v>
      </c>
      <c r="H18" s="11">
        <f t="shared" si="0"/>
        <v>16</v>
      </c>
      <c r="I18" s="12">
        <f t="shared" si="1"/>
        <v>2.197802197802198E-2</v>
      </c>
    </row>
    <row r="19" spans="1:9" ht="20" customHeight="1" x14ac:dyDescent="0.35">
      <c r="A19" s="7" t="s">
        <v>99</v>
      </c>
      <c r="B19" s="9" t="s">
        <v>100</v>
      </c>
      <c r="C19" s="14" t="s">
        <v>55</v>
      </c>
      <c r="D19" s="9">
        <v>3</v>
      </c>
      <c r="E19" s="9">
        <v>1</v>
      </c>
      <c r="F19" s="9">
        <v>0</v>
      </c>
      <c r="G19" s="9" t="s">
        <v>101</v>
      </c>
      <c r="H19" s="11">
        <f t="shared" si="0"/>
        <v>17</v>
      </c>
      <c r="I19" s="12">
        <f t="shared" si="1"/>
        <v>1.6483516483516484E-2</v>
      </c>
    </row>
    <row r="20" spans="1:9" ht="20" customHeight="1" x14ac:dyDescent="0.35">
      <c r="A20" s="5" t="s">
        <v>102</v>
      </c>
      <c r="B20" s="13" t="s">
        <v>103</v>
      </c>
      <c r="C20" s="10" t="s">
        <v>51</v>
      </c>
      <c r="D20" s="13">
        <v>3</v>
      </c>
      <c r="E20" s="13">
        <v>0</v>
      </c>
      <c r="F20" s="13">
        <v>1</v>
      </c>
      <c r="G20" s="13" t="s">
        <v>104</v>
      </c>
      <c r="H20" s="11">
        <f t="shared" si="0"/>
        <v>17</v>
      </c>
      <c r="I20" s="12">
        <f t="shared" si="1"/>
        <v>1.6483516483516484E-2</v>
      </c>
    </row>
    <row r="21" spans="1:9" ht="20" customHeight="1" x14ac:dyDescent="0.35">
      <c r="A21" s="7" t="s">
        <v>105</v>
      </c>
      <c r="B21" s="9" t="s">
        <v>106</v>
      </c>
      <c r="C21" s="14" t="s">
        <v>55</v>
      </c>
      <c r="D21" s="9">
        <v>2</v>
      </c>
      <c r="E21" s="9">
        <v>0</v>
      </c>
      <c r="F21" s="9">
        <v>0</v>
      </c>
      <c r="G21" s="9" t="s">
        <v>107</v>
      </c>
      <c r="H21" s="11">
        <f t="shared" si="0"/>
        <v>19</v>
      </c>
      <c r="I21" s="12">
        <f t="shared" si="1"/>
        <v>1.098901098901099E-2</v>
      </c>
    </row>
    <row r="22" spans="1:9" ht="20" customHeight="1" x14ac:dyDescent="0.35">
      <c r="A22" s="5" t="s">
        <v>108</v>
      </c>
      <c r="B22" s="13" t="s">
        <v>109</v>
      </c>
      <c r="C22" s="14" t="s">
        <v>55</v>
      </c>
      <c r="D22" s="13">
        <v>2</v>
      </c>
      <c r="E22" s="13">
        <v>0</v>
      </c>
      <c r="F22" s="13">
        <v>1</v>
      </c>
      <c r="G22" s="13" t="s">
        <v>110</v>
      </c>
      <c r="H22" s="11">
        <f t="shared" si="0"/>
        <v>19</v>
      </c>
      <c r="I22" s="12">
        <f t="shared" si="1"/>
        <v>1.098901098901099E-2</v>
      </c>
    </row>
    <row r="23" spans="1:9" ht="20" customHeight="1" x14ac:dyDescent="0.35">
      <c r="A23" s="7" t="s">
        <v>111</v>
      </c>
      <c r="B23" s="9" t="s">
        <v>112</v>
      </c>
      <c r="C23" s="14" t="s">
        <v>55</v>
      </c>
      <c r="D23" s="9">
        <v>1</v>
      </c>
      <c r="E23" s="9">
        <v>0</v>
      </c>
      <c r="F23" s="9">
        <v>0</v>
      </c>
      <c r="G23" s="9" t="s">
        <v>113</v>
      </c>
      <c r="H23" s="11">
        <f t="shared" si="0"/>
        <v>21</v>
      </c>
      <c r="I23" s="12">
        <f t="shared" si="1"/>
        <v>5.4945054945054949E-3</v>
      </c>
    </row>
    <row r="24" spans="1:9" ht="20" customHeight="1" x14ac:dyDescent="0.35">
      <c r="A24" s="5" t="s">
        <v>114</v>
      </c>
      <c r="B24" s="13" t="s">
        <v>115</v>
      </c>
      <c r="C24" s="10" t="s">
        <v>51</v>
      </c>
      <c r="D24" s="13">
        <v>1</v>
      </c>
      <c r="E24" s="13">
        <v>0</v>
      </c>
      <c r="F24" s="13">
        <v>0</v>
      </c>
      <c r="G24" s="13" t="s">
        <v>116</v>
      </c>
      <c r="H24" s="11">
        <f t="shared" si="0"/>
        <v>21</v>
      </c>
      <c r="I24" s="12">
        <f t="shared" si="1"/>
        <v>5.4945054945054949E-3</v>
      </c>
    </row>
    <row r="25" spans="1:9" ht="20" customHeight="1" x14ac:dyDescent="0.35">
      <c r="A25" s="7" t="s">
        <v>117</v>
      </c>
      <c r="B25" s="9" t="s">
        <v>118</v>
      </c>
      <c r="C25" s="10" t="s">
        <v>51</v>
      </c>
      <c r="D25" s="9">
        <v>0</v>
      </c>
      <c r="E25" s="9">
        <v>0</v>
      </c>
      <c r="F25" s="9">
        <v>0</v>
      </c>
      <c r="G25" s="9" t="s">
        <v>119</v>
      </c>
      <c r="H25" s="11">
        <f t="shared" si="0"/>
        <v>23</v>
      </c>
      <c r="I25" s="12">
        <f t="shared" si="1"/>
        <v>0</v>
      </c>
    </row>
    <row r="26" spans="1:9" ht="24" customHeight="1" x14ac:dyDescent="0.35">
      <c r="A26" s="15" t="s">
        <v>120</v>
      </c>
      <c r="B26" s="16"/>
      <c r="C26" s="16"/>
      <c r="D26" s="17">
        <f>SUM(D3:D25)</f>
        <v>182</v>
      </c>
      <c r="E26" s="17">
        <f>SUM(E3:E25)</f>
        <v>22</v>
      </c>
      <c r="F26" s="17">
        <f>SUM(F3:F25)</f>
        <v>9</v>
      </c>
      <c r="G26" s="16"/>
      <c r="H26" s="16"/>
      <c r="I26" s="16"/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2"/>
  <sheetViews>
    <sheetView showGridLines="0" workbookViewId="0">
      <pane ySplit="2" topLeftCell="A3" activePane="bottomLeft" state="frozen"/>
      <selection pane="bottomLeft" activeCell="D3" sqref="D3"/>
    </sheetView>
  </sheetViews>
  <sheetFormatPr defaultRowHeight="14.5" x14ac:dyDescent="0.35"/>
  <cols>
    <col min="1" max="1" width="12" customWidth="1"/>
    <col min="2" max="2" width="24" customWidth="1"/>
    <col min="3" max="3" width="12" customWidth="1"/>
    <col min="4" max="4" width="14" customWidth="1"/>
  </cols>
  <sheetData>
    <row r="1" spans="1:4" ht="30" customHeight="1" x14ac:dyDescent="0.35">
      <c r="A1" s="52" t="s">
        <v>121</v>
      </c>
      <c r="B1" s="48"/>
      <c r="C1" s="48"/>
      <c r="D1" s="48"/>
    </row>
    <row r="2" spans="1:4" ht="22" customHeight="1" x14ac:dyDescent="0.35">
      <c r="A2" s="18" t="s">
        <v>122</v>
      </c>
      <c r="B2" s="18" t="s">
        <v>40</v>
      </c>
      <c r="C2" s="18" t="s">
        <v>44</v>
      </c>
      <c r="D2" s="18" t="s">
        <v>123</v>
      </c>
    </row>
    <row r="3" spans="1:4" ht="20" customHeight="1" x14ac:dyDescent="0.35">
      <c r="A3" s="9" t="s">
        <v>124</v>
      </c>
      <c r="B3" s="7" t="s">
        <v>81</v>
      </c>
      <c r="C3" s="19">
        <v>4</v>
      </c>
      <c r="D3" s="9">
        <v>2</v>
      </c>
    </row>
    <row r="4" spans="1:4" ht="20" customHeight="1" x14ac:dyDescent="0.35">
      <c r="A4" s="20" t="s">
        <v>125</v>
      </c>
      <c r="B4" s="21" t="s">
        <v>69</v>
      </c>
      <c r="C4" s="22">
        <v>3</v>
      </c>
      <c r="D4" s="20">
        <v>1</v>
      </c>
    </row>
    <row r="5" spans="1:4" ht="20" customHeight="1" x14ac:dyDescent="0.35">
      <c r="A5" s="9" t="s">
        <v>126</v>
      </c>
      <c r="B5" s="7" t="s">
        <v>66</v>
      </c>
      <c r="C5" s="19">
        <v>3</v>
      </c>
      <c r="D5" s="9">
        <v>1</v>
      </c>
    </row>
    <row r="6" spans="1:4" ht="20" customHeight="1" x14ac:dyDescent="0.35">
      <c r="A6" s="20" t="s">
        <v>127</v>
      </c>
      <c r="B6" s="21" t="s">
        <v>78</v>
      </c>
      <c r="C6" s="22">
        <v>2</v>
      </c>
      <c r="D6" s="20">
        <v>1</v>
      </c>
    </row>
    <row r="7" spans="1:4" ht="20" customHeight="1" x14ac:dyDescent="0.35">
      <c r="A7" s="9" t="s">
        <v>128</v>
      </c>
      <c r="B7" s="7" t="s">
        <v>90</v>
      </c>
      <c r="C7" s="19">
        <v>2</v>
      </c>
      <c r="D7" s="9">
        <v>2</v>
      </c>
    </row>
    <row r="8" spans="1:4" ht="20" customHeight="1" x14ac:dyDescent="0.35">
      <c r="A8" s="20" t="s">
        <v>129</v>
      </c>
      <c r="B8" s="21" t="s">
        <v>63</v>
      </c>
      <c r="C8" s="22">
        <v>2</v>
      </c>
      <c r="D8" s="20">
        <v>2</v>
      </c>
    </row>
    <row r="9" spans="1:4" ht="20" customHeight="1" x14ac:dyDescent="0.35">
      <c r="A9" s="9" t="s">
        <v>130</v>
      </c>
      <c r="B9" s="7" t="s">
        <v>57</v>
      </c>
      <c r="C9" s="19">
        <v>2</v>
      </c>
      <c r="D9" s="9">
        <v>2</v>
      </c>
    </row>
    <row r="10" spans="1:4" ht="20" customHeight="1" x14ac:dyDescent="0.35">
      <c r="A10" s="20" t="s">
        <v>131</v>
      </c>
      <c r="B10" s="21" t="s">
        <v>75</v>
      </c>
      <c r="C10" s="22">
        <v>1</v>
      </c>
      <c r="D10" s="20">
        <v>2</v>
      </c>
    </row>
    <row r="11" spans="1:4" ht="20" customHeight="1" x14ac:dyDescent="0.35">
      <c r="A11" s="9" t="s">
        <v>132</v>
      </c>
      <c r="B11" s="7" t="s">
        <v>99</v>
      </c>
      <c r="C11" s="19">
        <v>1</v>
      </c>
      <c r="D11" s="9">
        <v>2</v>
      </c>
    </row>
    <row r="12" spans="1:4" ht="20" customHeight="1" x14ac:dyDescent="0.35">
      <c r="A12" s="20" t="s">
        <v>133</v>
      </c>
      <c r="B12" s="21" t="s">
        <v>93</v>
      </c>
      <c r="C12" s="22">
        <v>1</v>
      </c>
      <c r="D12" s="20">
        <v>2</v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0"/>
  <sheetViews>
    <sheetView showGridLines="0" workbookViewId="0">
      <pane ySplit="2" topLeftCell="A3" activePane="bottomLeft" state="frozen"/>
      <selection pane="bottomLeft" activeCell="H8" sqref="H8"/>
    </sheetView>
  </sheetViews>
  <sheetFormatPr defaultRowHeight="14.5" x14ac:dyDescent="0.35"/>
  <cols>
    <col min="1" max="1" width="12" customWidth="1"/>
    <col min="2" max="2" width="24" customWidth="1"/>
    <col min="3" max="3" width="12" customWidth="1"/>
    <col min="4" max="4" width="14" customWidth="1"/>
  </cols>
  <sheetData>
    <row r="1" spans="1:4" ht="30" customHeight="1" x14ac:dyDescent="0.35">
      <c r="A1" s="53" t="s">
        <v>134</v>
      </c>
      <c r="B1" s="48"/>
      <c r="C1" s="48"/>
      <c r="D1" s="48"/>
    </row>
    <row r="2" spans="1:4" ht="22" customHeight="1" x14ac:dyDescent="0.35">
      <c r="A2" s="8" t="s">
        <v>122</v>
      </c>
      <c r="B2" s="8" t="s">
        <v>40</v>
      </c>
      <c r="C2" s="8" t="s">
        <v>45</v>
      </c>
      <c r="D2" s="8" t="s">
        <v>123</v>
      </c>
    </row>
    <row r="3" spans="1:4" ht="20" customHeight="1" x14ac:dyDescent="0.35">
      <c r="A3" s="9" t="s">
        <v>124</v>
      </c>
      <c r="B3" s="7" t="s">
        <v>57</v>
      </c>
      <c r="C3" s="23">
        <v>2</v>
      </c>
      <c r="D3" s="9">
        <v>2</v>
      </c>
    </row>
    <row r="4" spans="1:4" ht="20" customHeight="1" x14ac:dyDescent="0.35">
      <c r="A4" s="24" t="s">
        <v>125</v>
      </c>
      <c r="B4" s="25" t="s">
        <v>102</v>
      </c>
      <c r="C4" s="26">
        <v>1</v>
      </c>
      <c r="D4" s="24">
        <v>1</v>
      </c>
    </row>
    <row r="5" spans="1:4" ht="20" customHeight="1" x14ac:dyDescent="0.35">
      <c r="A5" s="9" t="s">
        <v>126</v>
      </c>
      <c r="B5" s="7" t="s">
        <v>66</v>
      </c>
      <c r="C5" s="23">
        <v>1</v>
      </c>
      <c r="D5" s="9">
        <v>1</v>
      </c>
    </row>
    <row r="6" spans="1:4" ht="20" customHeight="1" x14ac:dyDescent="0.35">
      <c r="A6" s="24" t="s">
        <v>127</v>
      </c>
      <c r="B6" s="25" t="s">
        <v>108</v>
      </c>
      <c r="C6" s="26">
        <v>1</v>
      </c>
      <c r="D6" s="24">
        <v>1</v>
      </c>
    </row>
    <row r="7" spans="1:4" ht="20" customHeight="1" x14ac:dyDescent="0.35">
      <c r="A7" s="9" t="s">
        <v>128</v>
      </c>
      <c r="B7" s="7" t="s">
        <v>81</v>
      </c>
      <c r="C7" s="23">
        <v>1</v>
      </c>
      <c r="D7" s="9">
        <v>1</v>
      </c>
    </row>
    <row r="8" spans="1:4" ht="20" customHeight="1" x14ac:dyDescent="0.35">
      <c r="A8" s="24" t="s">
        <v>129</v>
      </c>
      <c r="B8" s="25" t="s">
        <v>90</v>
      </c>
      <c r="C8" s="26">
        <v>1</v>
      </c>
      <c r="D8" s="24">
        <v>2</v>
      </c>
    </row>
    <row r="9" spans="1:4" ht="20" customHeight="1" x14ac:dyDescent="0.35">
      <c r="A9" s="9" t="s">
        <v>130</v>
      </c>
      <c r="B9" s="7" t="s">
        <v>49</v>
      </c>
      <c r="C9" s="23">
        <v>1</v>
      </c>
      <c r="D9" s="9">
        <v>2</v>
      </c>
    </row>
    <row r="10" spans="1:4" ht="20" customHeight="1" x14ac:dyDescent="0.35">
      <c r="A10" s="24" t="s">
        <v>131</v>
      </c>
      <c r="B10" s="25" t="s">
        <v>72</v>
      </c>
      <c r="C10" s="26">
        <v>1</v>
      </c>
      <c r="D10" s="24">
        <v>2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7"/>
  <sheetViews>
    <sheetView showGridLines="0" topLeftCell="A6" workbookViewId="0">
      <selection activeCell="B3" sqref="B3"/>
    </sheetView>
  </sheetViews>
  <sheetFormatPr defaultRowHeight="14.5" x14ac:dyDescent="0.35"/>
  <cols>
    <col min="1" max="1" width="22" customWidth="1"/>
    <col min="2" max="6" width="14" customWidth="1"/>
  </cols>
  <sheetData>
    <row r="1" spans="1:5" ht="30" customHeight="1" x14ac:dyDescent="0.35">
      <c r="A1" s="47" t="s">
        <v>135</v>
      </c>
      <c r="B1" s="48"/>
      <c r="C1" s="48"/>
      <c r="D1" s="48"/>
      <c r="E1" s="48"/>
    </row>
    <row r="2" spans="1:5" ht="22" customHeight="1" x14ac:dyDescent="0.35">
      <c r="A2" s="27" t="s">
        <v>136</v>
      </c>
      <c r="B2" s="28" t="s">
        <v>137</v>
      </c>
      <c r="C2" s="28" t="s">
        <v>138</v>
      </c>
      <c r="D2" s="28" t="s">
        <v>139</v>
      </c>
      <c r="E2" s="28" t="s">
        <v>140</v>
      </c>
    </row>
    <row r="3" spans="1:5" ht="20" customHeight="1" x14ac:dyDescent="0.35">
      <c r="A3" s="29" t="s">
        <v>49</v>
      </c>
      <c r="B3" s="30">
        <v>29</v>
      </c>
      <c r="C3" s="30">
        <v>42</v>
      </c>
      <c r="D3" s="30">
        <v>1</v>
      </c>
      <c r="E3" s="30">
        <v>19</v>
      </c>
    </row>
    <row r="4" spans="1:5" ht="20" customHeight="1" x14ac:dyDescent="0.35">
      <c r="A4" s="31" t="s">
        <v>96</v>
      </c>
      <c r="B4" s="32">
        <v>24</v>
      </c>
      <c r="C4" s="32">
        <v>61</v>
      </c>
      <c r="D4" s="32">
        <v>33</v>
      </c>
      <c r="E4" s="32">
        <v>4</v>
      </c>
    </row>
    <row r="5" spans="1:5" ht="20" customHeight="1" x14ac:dyDescent="0.35">
      <c r="A5" s="29" t="s">
        <v>63</v>
      </c>
      <c r="B5" s="33">
        <v>54</v>
      </c>
      <c r="C5" s="33">
        <v>46</v>
      </c>
      <c r="D5" s="33">
        <v>10</v>
      </c>
      <c r="E5" s="33">
        <v>13</v>
      </c>
    </row>
    <row r="6" spans="1:5" ht="20" customHeight="1" x14ac:dyDescent="0.35">
      <c r="A6" s="31" t="s">
        <v>78</v>
      </c>
      <c r="B6" s="34">
        <v>65</v>
      </c>
      <c r="C6" s="34">
        <v>73</v>
      </c>
      <c r="D6" s="34">
        <v>4</v>
      </c>
      <c r="E6" s="34">
        <v>9</v>
      </c>
    </row>
    <row r="7" spans="1:5" ht="20" customHeight="1" x14ac:dyDescent="0.35">
      <c r="A7" s="29" t="s">
        <v>57</v>
      </c>
      <c r="B7" s="35">
        <v>50</v>
      </c>
      <c r="C7" s="35">
        <v>69</v>
      </c>
      <c r="D7" s="35">
        <v>11</v>
      </c>
      <c r="E7" s="35">
        <v>13</v>
      </c>
    </row>
    <row r="8" spans="1:5" ht="20" customHeight="1" x14ac:dyDescent="0.35">
      <c r="A8" s="31" t="s">
        <v>87</v>
      </c>
      <c r="B8" s="36">
        <v>27</v>
      </c>
      <c r="C8" s="36">
        <v>30</v>
      </c>
      <c r="D8" s="36">
        <v>3</v>
      </c>
      <c r="E8" s="36">
        <v>8</v>
      </c>
    </row>
    <row r="9" spans="1:5" ht="20" customHeight="1" x14ac:dyDescent="0.35">
      <c r="A9" s="29" t="s">
        <v>72</v>
      </c>
      <c r="B9" s="37"/>
      <c r="C9" s="37"/>
      <c r="D9" s="38">
        <v>20</v>
      </c>
      <c r="E9" s="38">
        <v>12</v>
      </c>
    </row>
    <row r="10" spans="1:5" ht="20" customHeight="1" x14ac:dyDescent="0.35">
      <c r="A10" s="31" t="s">
        <v>75</v>
      </c>
      <c r="B10" s="39">
        <v>12</v>
      </c>
      <c r="C10" s="39">
        <v>49</v>
      </c>
      <c r="D10" s="39">
        <v>10</v>
      </c>
      <c r="E10" s="39">
        <v>11</v>
      </c>
    </row>
    <row r="11" spans="1:5" ht="20" customHeight="1" x14ac:dyDescent="0.35">
      <c r="A11" s="29" t="s">
        <v>90</v>
      </c>
      <c r="B11" s="37"/>
      <c r="C11" s="37"/>
      <c r="D11" s="40">
        <v>22</v>
      </c>
      <c r="E11" s="40">
        <v>6</v>
      </c>
    </row>
    <row r="12" spans="1:5" ht="20" customHeight="1" x14ac:dyDescent="0.35">
      <c r="A12" s="31" t="s">
        <v>60</v>
      </c>
      <c r="B12" s="41"/>
      <c r="C12" s="41"/>
      <c r="D12" s="42">
        <v>14</v>
      </c>
      <c r="E12" s="42">
        <v>13</v>
      </c>
    </row>
    <row r="13" spans="1:5" ht="20" customHeight="1" x14ac:dyDescent="0.35">
      <c r="A13" s="29" t="s">
        <v>69</v>
      </c>
      <c r="B13" s="37"/>
      <c r="C13" s="37"/>
      <c r="D13" s="30">
        <v>5</v>
      </c>
      <c r="E13" s="30">
        <v>12</v>
      </c>
    </row>
    <row r="14" spans="1:5" ht="20" customHeight="1" x14ac:dyDescent="0.35">
      <c r="A14" s="31" t="s">
        <v>84</v>
      </c>
      <c r="B14" s="41"/>
      <c r="C14" s="41"/>
      <c r="D14" s="32">
        <v>34</v>
      </c>
      <c r="E14" s="32">
        <v>9</v>
      </c>
    </row>
    <row r="15" spans="1:5" ht="20" customHeight="1" x14ac:dyDescent="0.35">
      <c r="A15" s="29" t="s">
        <v>81</v>
      </c>
      <c r="B15" s="37"/>
      <c r="C15" s="37"/>
      <c r="D15" s="33">
        <v>2</v>
      </c>
      <c r="E15" s="33">
        <v>9</v>
      </c>
    </row>
    <row r="16" spans="1:5" ht="20" customHeight="1" x14ac:dyDescent="0.35">
      <c r="A16" s="31" t="s">
        <v>66</v>
      </c>
      <c r="B16" s="41"/>
      <c r="C16" s="41"/>
      <c r="D16" s="41"/>
      <c r="E16" s="34">
        <v>13</v>
      </c>
    </row>
    <row r="17" spans="1:5" ht="20" customHeight="1" x14ac:dyDescent="0.35">
      <c r="A17" s="29" t="s">
        <v>53</v>
      </c>
      <c r="B17" s="37"/>
      <c r="C17" s="37"/>
      <c r="D17" s="37"/>
      <c r="E17" s="35">
        <v>14</v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⚙️ Config</vt:lpstr>
      <vt:lpstr>📋 Instruções</vt:lpstr>
      <vt:lpstr>⚽ Ultima_Pelada</vt:lpstr>
      <vt:lpstr>🟥 Jogadores_Mes</vt:lpstr>
      <vt:lpstr>🟨 Artilharia_Mes</vt:lpstr>
      <vt:lpstr>🟧 Assistencias_Mes</vt:lpstr>
      <vt:lpstr>📅 Historico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Marlos Kleyton Teixeira Silva</cp:lastModifiedBy>
  <dcterms:created xsi:type="dcterms:W3CDTF">2026-05-22T10:36:23Z</dcterms:created>
  <dcterms:modified xsi:type="dcterms:W3CDTF">2026-05-26T14:40:53Z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9fea72e-161c-48c8-8e82-3fc1e9b3162c_Enabled">
    <vt:lpwstr>true</vt:lpwstr>
  </property>
  <property fmtid="{D5CDD505-2E9C-101B-9397-08002B2CF9AE}" pid="3" name="MSIP_Label_e9fea72e-161c-48c8-8e82-3fc1e9b3162c_SetDate">
    <vt:lpwstr>2026-05-26T14:29:47Z</vt:lpwstr>
  </property>
  <property fmtid="{D5CDD505-2E9C-101B-9397-08002B2CF9AE}" pid="4" name="MSIP_Label_e9fea72e-161c-48c8-8e82-3fc1e9b3162c_Method">
    <vt:lpwstr>Standard</vt:lpwstr>
  </property>
  <property fmtid="{D5CDD505-2E9C-101B-9397-08002B2CF9AE}" pid="5" name="MSIP_Label_e9fea72e-161c-48c8-8e82-3fc1e9b3162c_Name">
    <vt:lpwstr>Normal sensitivity label</vt:lpwstr>
  </property>
  <property fmtid="{D5CDD505-2E9C-101B-9397-08002B2CF9AE}" pid="6" name="MSIP_Label_e9fea72e-161c-48c8-8e82-3fc1e9b3162c_SiteId">
    <vt:lpwstr>ff9c7474-421d-4957-8d47-c4b64dec87b5</vt:lpwstr>
  </property>
  <property fmtid="{D5CDD505-2E9C-101B-9397-08002B2CF9AE}" pid="7" name="MSIP_Label_e9fea72e-161c-48c8-8e82-3fc1e9b3162c_ActionId">
    <vt:lpwstr>be06f61a-54ae-46f2-8807-54398e74795c</vt:lpwstr>
  </property>
  <property fmtid="{D5CDD505-2E9C-101B-9397-08002B2CF9AE}" pid="8" name="MSIP_Label_e9fea72e-161c-48c8-8e82-3fc1e9b3162c_ContentBits">
    <vt:lpwstr>0</vt:lpwstr>
  </property>
  <property fmtid="{D5CDD505-2E9C-101B-9397-08002B2CF9AE}" pid="9" name="MSIP_Label_e9fea72e-161c-48c8-8e82-3fc1e9b3162c_Tag">
    <vt:lpwstr>10, 3, 0, 1</vt:lpwstr>
  </property>
</Properties>
</file>